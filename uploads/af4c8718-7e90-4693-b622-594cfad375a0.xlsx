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0730" windowHeight="9285" activeTab="2"/>
  </bookViews>
  <sheets>
    <sheet name="035-2018" sheetId="1" r:id="rId1"/>
    <sheet name="ዋጋ ያልተሰራ" sheetId="2" r:id="rId2"/>
    <sheet name="የስበላ" sheetId="3" r:id="rId3"/>
    <sheet name="036-2018" sheetId="4" r:id="rId4"/>
  </sheets>
  <calcPr calcId="144525"/>
</workbook>
</file>

<file path=xl/calcChain.xml><?xml version="1.0" encoding="utf-8"?>
<calcChain xmlns="http://schemas.openxmlformats.org/spreadsheetml/2006/main">
  <c r="K8" i="3" l="1"/>
  <c r="J49" i="3"/>
  <c r="K49" i="3" s="1"/>
  <c r="J48" i="3"/>
  <c r="K48" i="3" s="1"/>
  <c r="J47" i="3"/>
  <c r="K47" i="3" s="1"/>
  <c r="J46" i="3"/>
  <c r="K46" i="3" s="1"/>
  <c r="J45" i="3"/>
  <c r="K45" i="3" s="1"/>
  <c r="J44" i="3"/>
  <c r="K44" i="3" s="1"/>
  <c r="J43" i="3"/>
  <c r="K43" i="3" s="1"/>
  <c r="J42" i="3"/>
  <c r="K42" i="3" s="1"/>
  <c r="J41" i="3"/>
  <c r="K41" i="3" s="1"/>
  <c r="J40" i="3"/>
  <c r="K40" i="3" s="1"/>
  <c r="J39" i="3"/>
  <c r="K39" i="3" s="1"/>
  <c r="J38" i="3"/>
  <c r="K38" i="3" s="1"/>
  <c r="J37" i="3"/>
  <c r="K37" i="3" s="1"/>
  <c r="J36" i="3"/>
  <c r="K36" i="3" s="1"/>
  <c r="J35" i="3"/>
  <c r="K35" i="3" s="1"/>
  <c r="J34" i="3"/>
  <c r="K34" i="3" s="1"/>
  <c r="J33" i="3"/>
  <c r="K33" i="3" s="1"/>
  <c r="J32" i="3"/>
  <c r="K32" i="3" s="1"/>
  <c r="J31" i="3"/>
  <c r="K31" i="3" s="1"/>
  <c r="J30" i="3"/>
  <c r="K30" i="3" s="1"/>
  <c r="J29" i="3"/>
  <c r="K29" i="3" s="1"/>
  <c r="J28" i="3"/>
  <c r="K28" i="3" s="1"/>
  <c r="J27" i="3"/>
  <c r="K27" i="3" s="1"/>
  <c r="J26" i="3"/>
  <c r="K26" i="3" s="1"/>
  <c r="J25" i="3"/>
  <c r="K25" i="3" s="1"/>
  <c r="J24" i="3"/>
  <c r="K24" i="3" s="1"/>
  <c r="J23" i="3"/>
  <c r="K23" i="3" s="1"/>
  <c r="J22" i="3"/>
  <c r="K22" i="3" s="1"/>
  <c r="K50" i="3" s="1"/>
  <c r="J21" i="3"/>
  <c r="K21" i="3" s="1"/>
  <c r="J20" i="3"/>
  <c r="K20" i="3" s="1"/>
  <c r="J19" i="3"/>
  <c r="K19" i="3" s="1"/>
  <c r="J18" i="3"/>
  <c r="K18" i="3" s="1"/>
  <c r="J17" i="3"/>
  <c r="K17" i="3" s="1"/>
  <c r="J7" i="3"/>
  <c r="K7" i="3" s="1"/>
  <c r="K755" i="1" l="1"/>
  <c r="K753" i="1"/>
  <c r="K754" i="1"/>
  <c r="K752" i="1"/>
  <c r="I753" i="1"/>
  <c r="I754" i="1"/>
  <c r="I752" i="1"/>
  <c r="J752" i="1"/>
  <c r="K533" i="1"/>
  <c r="K549" i="1"/>
  <c r="K573" i="1"/>
  <c r="K589" i="1"/>
  <c r="K599" i="1"/>
  <c r="K615" i="1"/>
  <c r="K625" i="1"/>
  <c r="K646" i="1"/>
  <c r="K666" i="1"/>
  <c r="K742" i="1"/>
  <c r="K516" i="1"/>
  <c r="K487" i="1"/>
  <c r="J510" i="1"/>
  <c r="K510" i="1" s="1"/>
  <c r="J511" i="1"/>
  <c r="K511" i="1" s="1"/>
  <c r="J512" i="1"/>
  <c r="K512" i="1" s="1"/>
  <c r="J513" i="1"/>
  <c r="K513" i="1" s="1"/>
  <c r="J514" i="1"/>
  <c r="K514" i="1" s="1"/>
  <c r="J515" i="1"/>
  <c r="K515" i="1" s="1"/>
  <c r="K509" i="1"/>
  <c r="J509" i="1"/>
  <c r="K441" i="1"/>
  <c r="K296" i="1"/>
  <c r="K283" i="1"/>
  <c r="K268" i="1"/>
  <c r="K237" i="1"/>
  <c r="K224" i="1"/>
  <c r="K196" i="1"/>
  <c r="J196" i="1"/>
  <c r="K186" i="1"/>
  <c r="K161" i="1"/>
  <c r="K123" i="1"/>
  <c r="K47" i="2" l="1"/>
  <c r="J47" i="2"/>
  <c r="I47" i="2"/>
  <c r="K46" i="2"/>
  <c r="J46" i="2"/>
  <c r="I46" i="2"/>
  <c r="K36" i="2"/>
  <c r="J36" i="2"/>
  <c r="I36" i="2"/>
  <c r="K26" i="2"/>
  <c r="J26" i="2"/>
  <c r="I26" i="2"/>
  <c r="K16" i="2"/>
  <c r="J16" i="2"/>
  <c r="I16" i="2"/>
  <c r="J741" i="1" l="1"/>
  <c r="I741" i="1"/>
  <c r="J740" i="1"/>
  <c r="I740" i="1"/>
  <c r="J739" i="1"/>
  <c r="I739" i="1"/>
  <c r="J738" i="1"/>
  <c r="I738" i="1"/>
  <c r="J737" i="1"/>
  <c r="I737" i="1"/>
  <c r="J736" i="1"/>
  <c r="I736" i="1"/>
  <c r="J735" i="1"/>
  <c r="I735" i="1"/>
  <c r="J734" i="1"/>
  <c r="I734" i="1"/>
  <c r="J733" i="1"/>
  <c r="I733" i="1"/>
  <c r="J732" i="1"/>
  <c r="I732" i="1"/>
  <c r="J731" i="1"/>
  <c r="I731" i="1"/>
  <c r="J730" i="1"/>
  <c r="K730" i="1" s="1"/>
  <c r="I730" i="1"/>
  <c r="J729" i="1"/>
  <c r="I729" i="1"/>
  <c r="J728" i="1"/>
  <c r="I728" i="1"/>
  <c r="J727" i="1"/>
  <c r="I727" i="1"/>
  <c r="J726" i="1"/>
  <c r="I726" i="1"/>
  <c r="J725" i="1"/>
  <c r="I725" i="1"/>
  <c r="J724" i="1"/>
  <c r="I724" i="1"/>
  <c r="J723" i="1"/>
  <c r="I723" i="1"/>
  <c r="J722" i="1"/>
  <c r="I722" i="1"/>
  <c r="J721" i="1"/>
  <c r="I721" i="1"/>
  <c r="J720" i="1"/>
  <c r="I720" i="1"/>
  <c r="J719" i="1"/>
  <c r="I719" i="1"/>
  <c r="J718" i="1"/>
  <c r="I718" i="1"/>
  <c r="J717" i="1"/>
  <c r="I717" i="1"/>
  <c r="J716" i="1"/>
  <c r="K716" i="1" s="1"/>
  <c r="I716" i="1"/>
  <c r="J715" i="1"/>
  <c r="I715" i="1"/>
  <c r="J714" i="1"/>
  <c r="I714" i="1"/>
  <c r="J713" i="1"/>
  <c r="I713" i="1"/>
  <c r="J712" i="1"/>
  <c r="I712" i="1"/>
  <c r="J711" i="1"/>
  <c r="I711" i="1"/>
  <c r="J710" i="1"/>
  <c r="K710" i="1" s="1"/>
  <c r="I710" i="1"/>
  <c r="J709" i="1"/>
  <c r="I709" i="1"/>
  <c r="J708" i="1"/>
  <c r="I708" i="1"/>
  <c r="J707" i="1"/>
  <c r="I707" i="1"/>
  <c r="J706" i="1"/>
  <c r="I706" i="1"/>
  <c r="J705" i="1"/>
  <c r="I705" i="1"/>
  <c r="J704" i="1"/>
  <c r="I704" i="1"/>
  <c r="J703" i="1"/>
  <c r="I703" i="1"/>
  <c r="J702" i="1"/>
  <c r="I702" i="1"/>
  <c r="J701" i="1"/>
  <c r="I701" i="1"/>
  <c r="J700" i="1"/>
  <c r="I700" i="1"/>
  <c r="J699" i="1"/>
  <c r="I699" i="1"/>
  <c r="J698" i="1"/>
  <c r="I698" i="1"/>
  <c r="J697" i="1"/>
  <c r="I697" i="1"/>
  <c r="J696" i="1"/>
  <c r="I696" i="1"/>
  <c r="J695" i="1"/>
  <c r="I695" i="1"/>
  <c r="J694" i="1"/>
  <c r="I694" i="1"/>
  <c r="J693" i="1"/>
  <c r="I693" i="1"/>
  <c r="J692" i="1"/>
  <c r="I692" i="1"/>
  <c r="J691" i="1"/>
  <c r="I691" i="1"/>
  <c r="J690" i="1"/>
  <c r="I690" i="1"/>
  <c r="J689" i="1"/>
  <c r="I689" i="1"/>
  <c r="J688" i="1"/>
  <c r="I688" i="1"/>
  <c r="J687" i="1"/>
  <c r="I687" i="1"/>
  <c r="J686" i="1"/>
  <c r="I686" i="1"/>
  <c r="J685" i="1"/>
  <c r="I685" i="1"/>
  <c r="J684" i="1"/>
  <c r="I684" i="1"/>
  <c r="J683" i="1"/>
  <c r="I683" i="1"/>
  <c r="J682" i="1"/>
  <c r="I682" i="1"/>
  <c r="J681" i="1"/>
  <c r="I681" i="1"/>
  <c r="J680" i="1"/>
  <c r="I680" i="1"/>
  <c r="J679" i="1"/>
  <c r="I679" i="1"/>
  <c r="J678" i="1"/>
  <c r="I678" i="1"/>
  <c r="J677" i="1"/>
  <c r="I677" i="1"/>
  <c r="J676" i="1"/>
  <c r="I676" i="1"/>
  <c r="J675" i="1"/>
  <c r="I675" i="1"/>
  <c r="J674" i="1"/>
  <c r="K674" i="1" s="1"/>
  <c r="I674" i="1"/>
  <c r="J665" i="1"/>
  <c r="I665" i="1"/>
  <c r="J664" i="1"/>
  <c r="I664" i="1"/>
  <c r="J663" i="1"/>
  <c r="I663" i="1"/>
  <c r="J662" i="1"/>
  <c r="I662" i="1"/>
  <c r="J661" i="1"/>
  <c r="I661" i="1"/>
  <c r="J660" i="1"/>
  <c r="I660" i="1"/>
  <c r="J659" i="1"/>
  <c r="I659" i="1"/>
  <c r="J658" i="1"/>
  <c r="I658" i="1"/>
  <c r="J657" i="1"/>
  <c r="I657" i="1"/>
  <c r="J656" i="1"/>
  <c r="I656" i="1"/>
  <c r="J655" i="1"/>
  <c r="I655" i="1"/>
  <c r="J654" i="1"/>
  <c r="I654" i="1"/>
  <c r="J645" i="1"/>
  <c r="I645" i="1"/>
  <c r="J644" i="1"/>
  <c r="I644" i="1"/>
  <c r="J643" i="1"/>
  <c r="I643" i="1"/>
  <c r="J642" i="1"/>
  <c r="I642" i="1"/>
  <c r="J641" i="1"/>
  <c r="I641" i="1"/>
  <c r="J640" i="1"/>
  <c r="I640" i="1"/>
  <c r="J639" i="1"/>
  <c r="I639" i="1"/>
  <c r="J638" i="1"/>
  <c r="I638" i="1"/>
  <c r="J637" i="1"/>
  <c r="K637" i="1" s="1"/>
  <c r="I637" i="1"/>
  <c r="J636" i="1"/>
  <c r="I636" i="1"/>
  <c r="J635" i="1"/>
  <c r="I635" i="1"/>
  <c r="J634" i="1"/>
  <c r="I634" i="1"/>
  <c r="J624" i="1"/>
  <c r="I624" i="1"/>
  <c r="J623" i="1"/>
  <c r="I623" i="1"/>
  <c r="K623" i="1" s="1"/>
  <c r="J622" i="1"/>
  <c r="I622" i="1"/>
  <c r="J614" i="1"/>
  <c r="I614" i="1"/>
  <c r="J613" i="1"/>
  <c r="I613" i="1"/>
  <c r="J612" i="1"/>
  <c r="I612" i="1"/>
  <c r="J611" i="1"/>
  <c r="I611" i="1"/>
  <c r="J598" i="1"/>
  <c r="I598" i="1"/>
  <c r="J597" i="1"/>
  <c r="K597" i="1" s="1"/>
  <c r="I597" i="1"/>
  <c r="J588" i="1"/>
  <c r="I588" i="1"/>
  <c r="J587" i="1"/>
  <c r="I587" i="1"/>
  <c r="J586" i="1"/>
  <c r="I586" i="1"/>
  <c r="J585" i="1"/>
  <c r="I585" i="1"/>
  <c r="J584" i="1"/>
  <c r="I584" i="1"/>
  <c r="J583" i="1"/>
  <c r="I583" i="1"/>
  <c r="J582" i="1"/>
  <c r="I582" i="1"/>
  <c r="J581" i="1"/>
  <c r="I581" i="1"/>
  <c r="J572" i="1"/>
  <c r="I572" i="1"/>
  <c r="J571" i="1"/>
  <c r="I571" i="1"/>
  <c r="J570" i="1"/>
  <c r="I570" i="1"/>
  <c r="K570" i="1" s="1"/>
  <c r="J569" i="1"/>
  <c r="I569" i="1"/>
  <c r="J568" i="1"/>
  <c r="I568" i="1"/>
  <c r="J567" i="1"/>
  <c r="I567" i="1"/>
  <c r="J566" i="1"/>
  <c r="I566" i="1"/>
  <c r="J565" i="1"/>
  <c r="I565" i="1"/>
  <c r="J564" i="1"/>
  <c r="I564" i="1"/>
  <c r="J563" i="1"/>
  <c r="I563" i="1"/>
  <c r="J562" i="1"/>
  <c r="I562" i="1"/>
  <c r="J561" i="1"/>
  <c r="I561" i="1"/>
  <c r="J560" i="1"/>
  <c r="I560" i="1"/>
  <c r="J559" i="1"/>
  <c r="I559" i="1"/>
  <c r="J558" i="1"/>
  <c r="I558" i="1"/>
  <c r="J557" i="1"/>
  <c r="I557" i="1"/>
  <c r="J548" i="1"/>
  <c r="I548" i="1"/>
  <c r="J547" i="1"/>
  <c r="I547" i="1"/>
  <c r="J546" i="1"/>
  <c r="I546" i="1"/>
  <c r="J545" i="1"/>
  <c r="I545" i="1"/>
  <c r="J544" i="1"/>
  <c r="I544" i="1"/>
  <c r="J543" i="1"/>
  <c r="I543" i="1"/>
  <c r="J542" i="1"/>
  <c r="I542" i="1"/>
  <c r="J532" i="1"/>
  <c r="I532" i="1"/>
  <c r="J531" i="1"/>
  <c r="I531" i="1"/>
  <c r="J530" i="1"/>
  <c r="I530" i="1"/>
  <c r="J529" i="1"/>
  <c r="I529" i="1"/>
  <c r="J528" i="1"/>
  <c r="I528" i="1"/>
  <c r="J527" i="1"/>
  <c r="I527" i="1"/>
  <c r="J526" i="1"/>
  <c r="I526" i="1"/>
  <c r="J525" i="1"/>
  <c r="I525" i="1"/>
  <c r="J524" i="1"/>
  <c r="I524" i="1"/>
  <c r="J523" i="1"/>
  <c r="I523" i="1"/>
  <c r="I515" i="1"/>
  <c r="I514" i="1"/>
  <c r="I513" i="1"/>
  <c r="I512" i="1"/>
  <c r="I511" i="1"/>
  <c r="I510" i="1"/>
  <c r="I509" i="1"/>
  <c r="J508" i="1"/>
  <c r="I508" i="1"/>
  <c r="J507" i="1"/>
  <c r="I507" i="1"/>
  <c r="J506" i="1"/>
  <c r="I506" i="1"/>
  <c r="J505" i="1"/>
  <c r="I505" i="1"/>
  <c r="J504" i="1"/>
  <c r="I504" i="1"/>
  <c r="J503" i="1"/>
  <c r="I503" i="1"/>
  <c r="J502" i="1"/>
  <c r="I502" i="1"/>
  <c r="J501" i="1"/>
  <c r="I501" i="1"/>
  <c r="J500" i="1"/>
  <c r="I500" i="1"/>
  <c r="J499" i="1"/>
  <c r="I499" i="1"/>
  <c r="J498" i="1"/>
  <c r="I498" i="1"/>
  <c r="J497" i="1"/>
  <c r="I497" i="1"/>
  <c r="J496" i="1"/>
  <c r="I496" i="1"/>
  <c r="J495" i="1"/>
  <c r="I495" i="1"/>
  <c r="J486" i="1"/>
  <c r="I486" i="1"/>
  <c r="J485" i="1"/>
  <c r="I485" i="1"/>
  <c r="J484" i="1"/>
  <c r="I484" i="1"/>
  <c r="J483" i="1"/>
  <c r="I483" i="1"/>
  <c r="J482" i="1"/>
  <c r="I482" i="1"/>
  <c r="J481" i="1"/>
  <c r="I481" i="1"/>
  <c r="J480" i="1"/>
  <c r="I480" i="1"/>
  <c r="J479" i="1"/>
  <c r="I479" i="1"/>
  <c r="J478" i="1"/>
  <c r="I478" i="1"/>
  <c r="J477" i="1"/>
  <c r="I477" i="1"/>
  <c r="J476" i="1"/>
  <c r="I476" i="1"/>
  <c r="J475" i="1"/>
  <c r="I475" i="1"/>
  <c r="J474" i="1"/>
  <c r="I474" i="1"/>
  <c r="J473" i="1"/>
  <c r="I473" i="1"/>
  <c r="J472" i="1"/>
  <c r="I472" i="1"/>
  <c r="J471" i="1"/>
  <c r="I471" i="1"/>
  <c r="K471" i="1" s="1"/>
  <c r="J470" i="1"/>
  <c r="I470" i="1"/>
  <c r="J469" i="1"/>
  <c r="I469" i="1"/>
  <c r="J468" i="1"/>
  <c r="I468" i="1"/>
  <c r="J467" i="1"/>
  <c r="I467" i="1"/>
  <c r="J466" i="1"/>
  <c r="I466" i="1"/>
  <c r="J465" i="1"/>
  <c r="I465" i="1"/>
  <c r="J464" i="1"/>
  <c r="I464" i="1"/>
  <c r="J463" i="1"/>
  <c r="I463" i="1"/>
  <c r="J462" i="1"/>
  <c r="I462" i="1"/>
  <c r="J461" i="1"/>
  <c r="I461" i="1"/>
  <c r="J460" i="1"/>
  <c r="I460" i="1"/>
  <c r="J459" i="1"/>
  <c r="I459" i="1"/>
  <c r="K459" i="1" s="1"/>
  <c r="J458" i="1"/>
  <c r="I458" i="1"/>
  <c r="J457" i="1"/>
  <c r="I457" i="1"/>
  <c r="J456" i="1"/>
  <c r="I456" i="1"/>
  <c r="J455" i="1"/>
  <c r="I455" i="1"/>
  <c r="J454" i="1"/>
  <c r="I454" i="1"/>
  <c r="J453" i="1"/>
  <c r="I453" i="1"/>
  <c r="J452" i="1"/>
  <c r="I452" i="1"/>
  <c r="J451" i="1"/>
  <c r="I451" i="1"/>
  <c r="J450" i="1"/>
  <c r="I450" i="1"/>
  <c r="J449" i="1"/>
  <c r="I449" i="1"/>
  <c r="J440" i="1"/>
  <c r="I440" i="1"/>
  <c r="J439" i="1"/>
  <c r="I439" i="1"/>
  <c r="J438" i="1"/>
  <c r="I438" i="1"/>
  <c r="J437" i="1"/>
  <c r="I437" i="1"/>
  <c r="J436" i="1"/>
  <c r="I436" i="1"/>
  <c r="J435" i="1"/>
  <c r="I435" i="1"/>
  <c r="J434" i="1"/>
  <c r="I434" i="1"/>
  <c r="J433" i="1"/>
  <c r="I433" i="1"/>
  <c r="J432" i="1"/>
  <c r="I432" i="1"/>
  <c r="J431" i="1"/>
  <c r="I431" i="1"/>
  <c r="J430" i="1"/>
  <c r="I430" i="1"/>
  <c r="J429" i="1"/>
  <c r="I429" i="1"/>
  <c r="J428" i="1"/>
  <c r="I428" i="1"/>
  <c r="J427" i="1"/>
  <c r="I427" i="1"/>
  <c r="J426" i="1"/>
  <c r="I426" i="1"/>
  <c r="J425" i="1"/>
  <c r="I425" i="1"/>
  <c r="J424" i="1"/>
  <c r="I424" i="1"/>
  <c r="J423" i="1"/>
  <c r="I423" i="1"/>
  <c r="J422" i="1"/>
  <c r="I422" i="1"/>
  <c r="J421" i="1"/>
  <c r="I421" i="1"/>
  <c r="J420" i="1"/>
  <c r="I420" i="1"/>
  <c r="J419" i="1"/>
  <c r="I419" i="1"/>
  <c r="J418" i="1"/>
  <c r="I418" i="1"/>
  <c r="J417" i="1"/>
  <c r="I417" i="1"/>
  <c r="J416" i="1"/>
  <c r="I416" i="1"/>
  <c r="J415" i="1"/>
  <c r="I415" i="1"/>
  <c r="J414" i="1"/>
  <c r="I414" i="1"/>
  <c r="J413" i="1"/>
  <c r="I413" i="1"/>
  <c r="J412" i="1"/>
  <c r="I412" i="1"/>
  <c r="J411" i="1"/>
  <c r="I411" i="1"/>
  <c r="J410" i="1"/>
  <c r="I410" i="1"/>
  <c r="J409" i="1"/>
  <c r="I409" i="1"/>
  <c r="J408" i="1"/>
  <c r="I408" i="1"/>
  <c r="J407" i="1"/>
  <c r="I407" i="1"/>
  <c r="J406" i="1"/>
  <c r="I406" i="1"/>
  <c r="J405" i="1"/>
  <c r="I405" i="1"/>
  <c r="J404" i="1"/>
  <c r="I404" i="1"/>
  <c r="J403" i="1"/>
  <c r="I403" i="1"/>
  <c r="J402" i="1"/>
  <c r="I402" i="1"/>
  <c r="J401" i="1"/>
  <c r="I401" i="1"/>
  <c r="J400" i="1"/>
  <c r="I400" i="1"/>
  <c r="J399" i="1"/>
  <c r="I399" i="1"/>
  <c r="J398" i="1"/>
  <c r="I398" i="1"/>
  <c r="J397" i="1"/>
  <c r="I397" i="1"/>
  <c r="J396" i="1"/>
  <c r="I396" i="1"/>
  <c r="J395" i="1"/>
  <c r="I395" i="1"/>
  <c r="J394" i="1"/>
  <c r="I394" i="1"/>
  <c r="J393" i="1"/>
  <c r="I393" i="1"/>
  <c r="J392" i="1"/>
  <c r="I392" i="1"/>
  <c r="J391" i="1"/>
  <c r="I391" i="1"/>
  <c r="J390" i="1"/>
  <c r="I390" i="1"/>
  <c r="J389" i="1"/>
  <c r="I389" i="1"/>
  <c r="J388" i="1"/>
  <c r="I388" i="1"/>
  <c r="J387" i="1"/>
  <c r="I387" i="1"/>
  <c r="J386" i="1"/>
  <c r="I386" i="1"/>
  <c r="J385" i="1"/>
  <c r="I385" i="1"/>
  <c r="J384" i="1"/>
  <c r="I384" i="1"/>
  <c r="J383" i="1"/>
  <c r="I383" i="1"/>
  <c r="J382" i="1"/>
  <c r="I382" i="1"/>
  <c r="J381" i="1"/>
  <c r="I381" i="1"/>
  <c r="J380" i="1"/>
  <c r="I380" i="1"/>
  <c r="J379" i="1"/>
  <c r="I379" i="1"/>
  <c r="J378" i="1"/>
  <c r="I378" i="1"/>
  <c r="J377" i="1"/>
  <c r="I377" i="1"/>
  <c r="J376" i="1"/>
  <c r="I376" i="1"/>
  <c r="J375" i="1"/>
  <c r="I375" i="1"/>
  <c r="J374" i="1"/>
  <c r="I374" i="1"/>
  <c r="J373" i="1"/>
  <c r="I373" i="1"/>
  <c r="J372" i="1"/>
  <c r="I372" i="1"/>
  <c r="J371" i="1"/>
  <c r="I371" i="1"/>
  <c r="J370" i="1"/>
  <c r="I370" i="1"/>
  <c r="J369" i="1"/>
  <c r="I369" i="1"/>
  <c r="J368" i="1"/>
  <c r="I368" i="1"/>
  <c r="J367" i="1"/>
  <c r="I367" i="1"/>
  <c r="J366" i="1"/>
  <c r="I366" i="1"/>
  <c r="J365" i="1"/>
  <c r="I365" i="1"/>
  <c r="J364" i="1"/>
  <c r="I364" i="1"/>
  <c r="J363" i="1"/>
  <c r="I363" i="1"/>
  <c r="J362" i="1"/>
  <c r="I362" i="1"/>
  <c r="J361" i="1"/>
  <c r="I361" i="1"/>
  <c r="J360" i="1"/>
  <c r="I360" i="1"/>
  <c r="J359" i="1"/>
  <c r="I359" i="1"/>
  <c r="J358" i="1"/>
  <c r="I358" i="1"/>
  <c r="J357" i="1"/>
  <c r="I357" i="1"/>
  <c r="J356" i="1"/>
  <c r="I356" i="1"/>
  <c r="J355" i="1"/>
  <c r="I355" i="1"/>
  <c r="J354" i="1"/>
  <c r="I354" i="1"/>
  <c r="J353" i="1"/>
  <c r="I353" i="1"/>
  <c r="J352" i="1"/>
  <c r="I352" i="1"/>
  <c r="J351" i="1"/>
  <c r="I351" i="1"/>
  <c r="J350" i="1"/>
  <c r="I350" i="1"/>
  <c r="J349" i="1"/>
  <c r="I349" i="1"/>
  <c r="J348" i="1"/>
  <c r="I348" i="1"/>
  <c r="J347" i="1"/>
  <c r="I347" i="1"/>
  <c r="J346" i="1"/>
  <c r="I346" i="1"/>
  <c r="J345" i="1"/>
  <c r="I345" i="1"/>
  <c r="J344" i="1"/>
  <c r="I344" i="1"/>
  <c r="J343" i="1"/>
  <c r="I343" i="1"/>
  <c r="K343" i="1" s="1"/>
  <c r="J342" i="1"/>
  <c r="I342" i="1"/>
  <c r="J341" i="1"/>
  <c r="I341" i="1"/>
  <c r="J340" i="1"/>
  <c r="I340" i="1"/>
  <c r="J339" i="1"/>
  <c r="I339" i="1"/>
  <c r="J338" i="1"/>
  <c r="I338" i="1"/>
  <c r="J337" i="1"/>
  <c r="I337" i="1"/>
  <c r="J336" i="1"/>
  <c r="I336" i="1"/>
  <c r="J335" i="1"/>
  <c r="I335" i="1"/>
  <c r="J334" i="1"/>
  <c r="I334" i="1"/>
  <c r="J333" i="1"/>
  <c r="I333" i="1"/>
  <c r="J332" i="1"/>
  <c r="I332" i="1"/>
  <c r="J331" i="1"/>
  <c r="I331" i="1"/>
  <c r="J330" i="1"/>
  <c r="I330" i="1"/>
  <c r="J329" i="1"/>
  <c r="I329" i="1"/>
  <c r="J328" i="1"/>
  <c r="I328" i="1"/>
  <c r="J327" i="1"/>
  <c r="I327" i="1"/>
  <c r="J326" i="1"/>
  <c r="I326" i="1"/>
  <c r="J325" i="1"/>
  <c r="I325" i="1"/>
  <c r="J324" i="1"/>
  <c r="I324" i="1"/>
  <c r="J323" i="1"/>
  <c r="I323" i="1"/>
  <c r="J322" i="1"/>
  <c r="I322" i="1"/>
  <c r="J321" i="1"/>
  <c r="I321" i="1"/>
  <c r="J320" i="1"/>
  <c r="I320" i="1"/>
  <c r="J319" i="1"/>
  <c r="I319" i="1"/>
  <c r="J318" i="1"/>
  <c r="I318" i="1"/>
  <c r="J317" i="1"/>
  <c r="I317" i="1"/>
  <c r="J316" i="1"/>
  <c r="I316" i="1"/>
  <c r="J315" i="1"/>
  <c r="I315" i="1"/>
  <c r="J314" i="1"/>
  <c r="I314" i="1"/>
  <c r="J313" i="1"/>
  <c r="I313" i="1"/>
  <c r="K313" i="1" s="1"/>
  <c r="J312" i="1"/>
  <c r="I312" i="1"/>
  <c r="J311" i="1"/>
  <c r="I311" i="1"/>
  <c r="J310" i="1"/>
  <c r="I310" i="1"/>
  <c r="J309" i="1"/>
  <c r="I309" i="1"/>
  <c r="J308" i="1"/>
  <c r="I308" i="1"/>
  <c r="J307" i="1"/>
  <c r="I307" i="1"/>
  <c r="J306" i="1"/>
  <c r="I306" i="1"/>
  <c r="J305" i="1"/>
  <c r="I305" i="1"/>
  <c r="J295" i="1"/>
  <c r="I295" i="1"/>
  <c r="J294" i="1"/>
  <c r="I294" i="1"/>
  <c r="J293" i="1"/>
  <c r="I293" i="1"/>
  <c r="J292" i="1"/>
  <c r="I292" i="1"/>
  <c r="J282" i="1"/>
  <c r="I282" i="1"/>
  <c r="J281" i="1"/>
  <c r="I281" i="1"/>
  <c r="J280" i="1"/>
  <c r="I280" i="1"/>
  <c r="J279" i="1"/>
  <c r="I279" i="1"/>
  <c r="J278" i="1"/>
  <c r="I278" i="1"/>
  <c r="J277" i="1"/>
  <c r="I277" i="1"/>
  <c r="J267" i="1"/>
  <c r="I267" i="1"/>
  <c r="J266" i="1"/>
  <c r="I266" i="1"/>
  <c r="J265" i="1"/>
  <c r="I265" i="1"/>
  <c r="J264" i="1"/>
  <c r="I264" i="1"/>
  <c r="J263" i="1"/>
  <c r="I263" i="1"/>
  <c r="J262" i="1"/>
  <c r="I262" i="1"/>
  <c r="J261" i="1"/>
  <c r="I261" i="1"/>
  <c r="J260" i="1"/>
  <c r="I260" i="1"/>
  <c r="J259" i="1"/>
  <c r="I259" i="1"/>
  <c r="J258" i="1"/>
  <c r="I258" i="1"/>
  <c r="J257" i="1"/>
  <c r="I257" i="1"/>
  <c r="J256" i="1"/>
  <c r="I256" i="1"/>
  <c r="J255" i="1"/>
  <c r="I255" i="1"/>
  <c r="J254" i="1"/>
  <c r="I254" i="1"/>
  <c r="J253" i="1"/>
  <c r="I253" i="1"/>
  <c r="J252" i="1"/>
  <c r="I252" i="1"/>
  <c r="J251" i="1"/>
  <c r="I251" i="1"/>
  <c r="J250" i="1"/>
  <c r="I250" i="1"/>
  <c r="J249" i="1"/>
  <c r="I249" i="1"/>
  <c r="K249" i="1" s="1"/>
  <c r="J248" i="1"/>
  <c r="I248" i="1"/>
  <c r="J247" i="1"/>
  <c r="I247" i="1"/>
  <c r="J246" i="1"/>
  <c r="I246" i="1"/>
  <c r="J236" i="1"/>
  <c r="I236" i="1"/>
  <c r="J235" i="1"/>
  <c r="I235" i="1"/>
  <c r="J234" i="1"/>
  <c r="I234" i="1"/>
  <c r="J233" i="1"/>
  <c r="I233" i="1"/>
  <c r="J232" i="1"/>
  <c r="I232" i="1"/>
  <c r="J223" i="1"/>
  <c r="I223" i="1"/>
  <c r="J222" i="1"/>
  <c r="I222" i="1"/>
  <c r="J221" i="1"/>
  <c r="I221" i="1"/>
  <c r="J220" i="1"/>
  <c r="I220" i="1"/>
  <c r="K220" i="1" s="1"/>
  <c r="J219" i="1"/>
  <c r="I219" i="1"/>
  <c r="J218" i="1"/>
  <c r="I218" i="1"/>
  <c r="J217" i="1"/>
  <c r="I217" i="1"/>
  <c r="J216" i="1"/>
  <c r="I216" i="1"/>
  <c r="J215" i="1"/>
  <c r="I215" i="1"/>
  <c r="J214" i="1"/>
  <c r="I214" i="1"/>
  <c r="J213" i="1"/>
  <c r="I213" i="1"/>
  <c r="J212" i="1"/>
  <c r="I212" i="1"/>
  <c r="J211" i="1"/>
  <c r="I211" i="1"/>
  <c r="J210" i="1"/>
  <c r="I210" i="1"/>
  <c r="J209" i="1"/>
  <c r="I209" i="1"/>
  <c r="J208" i="1"/>
  <c r="I208" i="1"/>
  <c r="J207" i="1"/>
  <c r="I207" i="1"/>
  <c r="J206" i="1"/>
  <c r="I206" i="1"/>
  <c r="J205" i="1"/>
  <c r="I205" i="1"/>
  <c r="J204" i="1"/>
  <c r="I204" i="1"/>
  <c r="J203" i="1"/>
  <c r="I203" i="1"/>
  <c r="J202" i="1"/>
  <c r="I202" i="1"/>
  <c r="J201" i="1"/>
  <c r="I201" i="1"/>
  <c r="J200" i="1"/>
  <c r="I200" i="1"/>
  <c r="J199" i="1"/>
  <c r="I199" i="1"/>
  <c r="J198" i="1"/>
  <c r="I198" i="1"/>
  <c r="J197" i="1"/>
  <c r="I197" i="1"/>
  <c r="I196" i="1"/>
  <c r="J185" i="1"/>
  <c r="I185" i="1"/>
  <c r="J184" i="1"/>
  <c r="I184" i="1"/>
  <c r="J183" i="1"/>
  <c r="I183" i="1"/>
  <c r="J182" i="1"/>
  <c r="I182" i="1"/>
  <c r="J181" i="1"/>
  <c r="I181" i="1"/>
  <c r="J180" i="1"/>
  <c r="I180" i="1"/>
  <c r="K180" i="1" s="1"/>
  <c r="J179" i="1"/>
  <c r="I179" i="1"/>
  <c r="J178" i="1"/>
  <c r="I178" i="1"/>
  <c r="J177" i="1"/>
  <c r="I177" i="1"/>
  <c r="J176" i="1"/>
  <c r="I176" i="1"/>
  <c r="J175" i="1"/>
  <c r="I175" i="1"/>
  <c r="J174" i="1"/>
  <c r="I174" i="1"/>
  <c r="J173" i="1"/>
  <c r="I173" i="1"/>
  <c r="J172" i="1"/>
  <c r="I172" i="1"/>
  <c r="J171" i="1"/>
  <c r="I171" i="1"/>
  <c r="J160" i="1"/>
  <c r="I160" i="1"/>
  <c r="J159" i="1"/>
  <c r="I159" i="1"/>
  <c r="J158" i="1"/>
  <c r="I158" i="1"/>
  <c r="J157" i="1"/>
  <c r="I157" i="1"/>
  <c r="J156" i="1"/>
  <c r="I156" i="1"/>
  <c r="J155" i="1"/>
  <c r="I155" i="1"/>
  <c r="J154" i="1"/>
  <c r="I154" i="1"/>
  <c r="J153" i="1"/>
  <c r="I153" i="1"/>
  <c r="J152" i="1"/>
  <c r="I152" i="1"/>
  <c r="J151" i="1"/>
  <c r="I151" i="1"/>
  <c r="J150" i="1"/>
  <c r="I150" i="1"/>
  <c r="J149" i="1"/>
  <c r="I149" i="1"/>
  <c r="J148" i="1"/>
  <c r="I148" i="1"/>
  <c r="J147" i="1"/>
  <c r="I147" i="1"/>
  <c r="K147" i="1" s="1"/>
  <c r="J146" i="1"/>
  <c r="I146" i="1"/>
  <c r="J145" i="1"/>
  <c r="I145" i="1"/>
  <c r="J144" i="1"/>
  <c r="I144" i="1"/>
  <c r="J143" i="1"/>
  <c r="I143" i="1"/>
  <c r="K143" i="1" s="1"/>
  <c r="J142" i="1"/>
  <c r="I142" i="1"/>
  <c r="J141" i="1"/>
  <c r="I141" i="1"/>
  <c r="J140" i="1"/>
  <c r="I140" i="1"/>
  <c r="J139" i="1"/>
  <c r="I139" i="1"/>
  <c r="K139" i="1" s="1"/>
  <c r="J138" i="1"/>
  <c r="I138" i="1"/>
  <c r="J137" i="1"/>
  <c r="I137" i="1"/>
  <c r="J136" i="1"/>
  <c r="I136" i="1"/>
  <c r="J135" i="1"/>
  <c r="I135" i="1"/>
  <c r="J134" i="1"/>
  <c r="I134" i="1"/>
  <c r="J122" i="1"/>
  <c r="I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K108" i="1" s="1"/>
  <c r="J107" i="1"/>
  <c r="I107" i="1"/>
  <c r="J106" i="1"/>
  <c r="I106" i="1"/>
  <c r="K106" i="1" s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K94" i="1" s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K84" i="1" s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K36" i="1" s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K204" i="1" l="1"/>
  <c r="K216" i="1"/>
  <c r="K734" i="1"/>
  <c r="K200" i="1"/>
  <c r="K184" i="1"/>
  <c r="K643" i="1"/>
  <c r="K46" i="1"/>
  <c r="K256" i="1"/>
  <c r="K368" i="1"/>
  <c r="K392" i="1"/>
  <c r="K398" i="1"/>
  <c r="K484" i="1"/>
  <c r="K156" i="1"/>
  <c r="K172" i="1"/>
  <c r="K178" i="1"/>
  <c r="K218" i="1"/>
  <c r="K317" i="1"/>
  <c r="K40" i="1"/>
  <c r="K38" i="1"/>
  <c r="K160" i="1"/>
  <c r="K148" i="1"/>
  <c r="K198" i="1"/>
  <c r="K339" i="1"/>
  <c r="K351" i="1"/>
  <c r="K357" i="1"/>
  <c r="K363" i="1"/>
  <c r="K369" i="1"/>
  <c r="K375" i="1"/>
  <c r="K387" i="1"/>
  <c r="K417" i="1"/>
  <c r="K429" i="1"/>
  <c r="K455" i="1"/>
  <c r="K473" i="1"/>
  <c r="K698" i="1"/>
  <c r="K265" i="1"/>
  <c r="K280" i="1"/>
  <c r="K311" i="1"/>
  <c r="K359" i="1"/>
  <c r="K365" i="1"/>
  <c r="K722" i="1"/>
  <c r="K74" i="1"/>
  <c r="K15" i="1"/>
  <c r="K254" i="1"/>
  <c r="K408" i="1"/>
  <c r="K117" i="1"/>
  <c r="K158" i="1"/>
  <c r="K687" i="1"/>
  <c r="K22" i="1"/>
  <c r="K52" i="1"/>
  <c r="K70" i="1"/>
  <c r="K100" i="1"/>
  <c r="K215" i="1"/>
  <c r="K588" i="1"/>
  <c r="K682" i="1"/>
  <c r="K694" i="1"/>
  <c r="K700" i="1"/>
  <c r="K718" i="1"/>
  <c r="K14" i="1"/>
  <c r="K80" i="1"/>
  <c r="K157" i="1"/>
  <c r="K39" i="1"/>
  <c r="K51" i="1"/>
  <c r="K111" i="1"/>
  <c r="K202" i="1"/>
  <c r="K10" i="1"/>
  <c r="K28" i="1"/>
  <c r="K251" i="1"/>
  <c r="K293" i="1"/>
  <c r="K327" i="1"/>
  <c r="K12" i="1"/>
  <c r="K48" i="1"/>
  <c r="K54" i="1"/>
  <c r="K66" i="1"/>
  <c r="K96" i="1"/>
  <c r="K479" i="1"/>
  <c r="K498" i="1"/>
  <c r="K504" i="1"/>
  <c r="K584" i="1"/>
  <c r="K678" i="1"/>
  <c r="K684" i="1"/>
  <c r="K690" i="1"/>
  <c r="K322" i="1"/>
  <c r="K259" i="1"/>
  <c r="K727" i="1"/>
  <c r="K68" i="1"/>
  <c r="K179" i="1"/>
  <c r="K213" i="1"/>
  <c r="K500" i="1"/>
  <c r="K546" i="1"/>
  <c r="K560" i="1"/>
  <c r="K612" i="1"/>
  <c r="K680" i="1"/>
  <c r="K686" i="1"/>
  <c r="K86" i="1"/>
  <c r="K45" i="1"/>
  <c r="K266" i="1"/>
  <c r="K384" i="1"/>
  <c r="K62" i="1"/>
  <c r="K185" i="1"/>
  <c r="K324" i="1"/>
  <c r="K104" i="1"/>
  <c r="K21" i="1"/>
  <c r="K75" i="1"/>
  <c r="K699" i="1"/>
  <c r="K267" i="1"/>
  <c r="K349" i="1"/>
  <c r="K379" i="1"/>
  <c r="K391" i="1"/>
  <c r="K397" i="1"/>
  <c r="K403" i="1"/>
  <c r="K415" i="1"/>
  <c r="K427" i="1"/>
  <c r="K656" i="1"/>
  <c r="K662" i="1"/>
  <c r="K113" i="1"/>
  <c r="K176" i="1"/>
  <c r="K706" i="1"/>
  <c r="K102" i="1"/>
  <c r="K120" i="1"/>
  <c r="K137" i="1"/>
  <c r="K20" i="1"/>
  <c r="K61" i="1"/>
  <c r="K85" i="1"/>
  <c r="K177" i="1"/>
  <c r="K199" i="1"/>
  <c r="K211" i="1"/>
  <c r="K222" i="1"/>
  <c r="K236" i="1"/>
  <c r="K433" i="1"/>
  <c r="K465" i="1"/>
  <c r="K532" i="1"/>
  <c r="K561" i="1"/>
  <c r="K581" i="1"/>
  <c r="K44" i="1"/>
  <c r="K56" i="1"/>
  <c r="K92" i="1"/>
  <c r="K206" i="1"/>
  <c r="K411" i="1"/>
  <c r="K440" i="1"/>
  <c r="K454" i="1"/>
  <c r="K483" i="1"/>
  <c r="K496" i="1"/>
  <c r="K502" i="1"/>
  <c r="K527" i="1"/>
  <c r="K568" i="1"/>
  <c r="K636" i="1"/>
  <c r="K726" i="1"/>
  <c r="K122" i="1"/>
  <c r="K449" i="1"/>
  <c r="K232" i="1"/>
  <c r="K247" i="1"/>
  <c r="K305" i="1"/>
  <c r="K435" i="1"/>
  <c r="K733" i="1"/>
  <c r="K34" i="1"/>
  <c r="K64" i="1"/>
  <c r="K152" i="1"/>
  <c r="K214" i="1"/>
  <c r="K82" i="1"/>
  <c r="K174" i="1"/>
  <c r="K208" i="1"/>
  <c r="K306" i="1"/>
  <c r="K564" i="1"/>
  <c r="K676" i="1"/>
  <c r="K118" i="1"/>
  <c r="K261" i="1"/>
  <c r="K407" i="1"/>
  <c r="K638" i="1"/>
  <c r="K688" i="1"/>
  <c r="K705" i="1"/>
  <c r="K141" i="1"/>
  <c r="K234" i="1"/>
  <c r="K282" i="1"/>
  <c r="K319" i="1"/>
  <c r="K348" i="1"/>
  <c r="K463" i="1"/>
  <c r="K711" i="1"/>
  <c r="K18" i="1"/>
  <c r="K41" i="1"/>
  <c r="K98" i="1"/>
  <c r="K30" i="1"/>
  <c r="K8" i="1"/>
  <c r="K42" i="1"/>
  <c r="K65" i="1"/>
  <c r="K88" i="1"/>
  <c r="K99" i="1"/>
  <c r="K110" i="1"/>
  <c r="K116" i="1"/>
  <c r="K155" i="1"/>
  <c r="K182" i="1"/>
  <c r="K233" i="1"/>
  <c r="K253" i="1"/>
  <c r="K264" i="1"/>
  <c r="K347" i="1"/>
  <c r="K423" i="1"/>
  <c r="K453" i="1"/>
  <c r="K481" i="1"/>
  <c r="K529" i="1"/>
  <c r="K544" i="1"/>
  <c r="K558" i="1"/>
  <c r="K642" i="1"/>
  <c r="K679" i="1"/>
  <c r="K691" i="1"/>
  <c r="K724" i="1"/>
  <c r="K58" i="1"/>
  <c r="K154" i="1"/>
  <c r="K24" i="1"/>
  <c r="K60" i="1"/>
  <c r="K144" i="1"/>
  <c r="K476" i="1"/>
  <c r="K26" i="1"/>
  <c r="K32" i="1"/>
  <c r="K72" i="1"/>
  <c r="K78" i="1"/>
  <c r="K89" i="1"/>
  <c r="K112" i="1"/>
  <c r="K134" i="1"/>
  <c r="K145" i="1"/>
  <c r="K151" i="1"/>
  <c r="K210" i="1"/>
  <c r="K255" i="1"/>
  <c r="K260" i="1"/>
  <c r="K294" i="1"/>
  <c r="K309" i="1"/>
  <c r="K320" i="1"/>
  <c r="K331" i="1"/>
  <c r="K360" i="1"/>
  <c r="K395" i="1"/>
  <c r="K460" i="1"/>
  <c r="K525" i="1"/>
  <c r="K598" i="1"/>
  <c r="K644" i="1"/>
  <c r="K703" i="1"/>
  <c r="K714" i="1"/>
  <c r="K720" i="1"/>
  <c r="K16" i="1"/>
  <c r="K27" i="1"/>
  <c r="K50" i="1"/>
  <c r="K90" i="1"/>
  <c r="K135" i="1"/>
  <c r="K146" i="1"/>
  <c r="K295" i="1"/>
  <c r="K321" i="1"/>
  <c r="K332" i="1"/>
  <c r="K355" i="1"/>
  <c r="K367" i="1"/>
  <c r="K373" i="1"/>
  <c r="K396" i="1"/>
  <c r="K419" i="1"/>
  <c r="K425" i="1"/>
  <c r="K467" i="1"/>
  <c r="K566" i="1"/>
  <c r="K572" i="1"/>
  <c r="K664" i="1"/>
  <c r="K732" i="1"/>
  <c r="K738" i="1"/>
  <c r="K508" i="1"/>
  <c r="K6" i="1"/>
  <c r="K17" i="1"/>
  <c r="K57" i="1"/>
  <c r="K63" i="1"/>
  <c r="K69" i="1"/>
  <c r="K114" i="1"/>
  <c r="K201" i="1"/>
  <c r="K212" i="1"/>
  <c r="K223" i="1"/>
  <c r="K257" i="1"/>
  <c r="K345" i="1"/>
  <c r="K409" i="1"/>
  <c r="K457" i="1"/>
  <c r="K503" i="1"/>
  <c r="K542" i="1"/>
  <c r="K548" i="1"/>
  <c r="K640" i="1"/>
  <c r="K654" i="1"/>
  <c r="K728" i="1"/>
  <c r="K109" i="1"/>
  <c r="K181" i="1"/>
  <c r="K252" i="1"/>
  <c r="K263" i="1"/>
  <c r="K278" i="1"/>
  <c r="K381" i="1"/>
  <c r="K452" i="1"/>
  <c r="K528" i="1"/>
  <c r="K76" i="1"/>
  <c r="K87" i="1"/>
  <c r="K93" i="1"/>
  <c r="K149" i="1"/>
  <c r="K219" i="1"/>
  <c r="K307" i="1"/>
  <c r="K335" i="1"/>
  <c r="K341" i="1"/>
  <c r="K393" i="1"/>
  <c r="K399" i="1"/>
  <c r="K422" i="1"/>
  <c r="K439" i="1"/>
  <c r="K464" i="1"/>
  <c r="K475" i="1"/>
  <c r="K523" i="1"/>
  <c r="K569" i="1"/>
  <c r="K583" i="1"/>
  <c r="K614" i="1"/>
  <c r="K661" i="1"/>
  <c r="K735" i="1"/>
  <c r="K73" i="1"/>
  <c r="K11" i="1"/>
  <c r="K35" i="1"/>
  <c r="K59" i="1"/>
  <c r="K83" i="1"/>
  <c r="K107" i="1"/>
  <c r="K142" i="1"/>
  <c r="K175" i="1"/>
  <c r="K209" i="1"/>
  <c r="K250" i="1"/>
  <c r="K292" i="1"/>
  <c r="K314" i="1"/>
  <c r="K325" i="1"/>
  <c r="K336" i="1"/>
  <c r="K374" i="1"/>
  <c r="K385" i="1"/>
  <c r="K401" i="1"/>
  <c r="K428" i="1"/>
  <c r="K469" i="1"/>
  <c r="K485" i="1"/>
  <c r="K497" i="1"/>
  <c r="K531" i="1"/>
  <c r="K641" i="1"/>
  <c r="K660" i="1"/>
  <c r="K704" i="1"/>
  <c r="K715" i="1"/>
  <c r="K736" i="1"/>
  <c r="K25" i="1"/>
  <c r="K7" i="1"/>
  <c r="K31" i="1"/>
  <c r="K55" i="1"/>
  <c r="K79" i="1"/>
  <c r="K103" i="1"/>
  <c r="K138" i="1"/>
  <c r="K171" i="1"/>
  <c r="K205" i="1"/>
  <c r="K246" i="1"/>
  <c r="K279" i="1"/>
  <c r="K310" i="1"/>
  <c r="K315" i="1"/>
  <c r="K326" i="1"/>
  <c r="K337" i="1"/>
  <c r="K353" i="1"/>
  <c r="K380" i="1"/>
  <c r="K413" i="1"/>
  <c r="K49" i="1"/>
  <c r="K97" i="1"/>
  <c r="K121" i="1"/>
  <c r="K316" i="1"/>
  <c r="K119" i="1"/>
  <c r="K197" i="1"/>
  <c r="K221" i="1"/>
  <c r="K262" i="1"/>
  <c r="K333" i="1"/>
  <c r="K344" i="1"/>
  <c r="K371" i="1"/>
  <c r="K420" i="1"/>
  <c r="K431" i="1"/>
  <c r="K477" i="1"/>
  <c r="K543" i="1"/>
  <c r="K562" i="1"/>
  <c r="K586" i="1"/>
  <c r="K657" i="1"/>
  <c r="K696" i="1"/>
  <c r="K712" i="1"/>
  <c r="K723" i="1"/>
  <c r="K739" i="1"/>
  <c r="K23" i="1"/>
  <c r="K81" i="1"/>
  <c r="K207" i="1"/>
  <c r="K281" i="1"/>
  <c r="K312" i="1"/>
  <c r="K350" i="1"/>
  <c r="K377" i="1"/>
  <c r="K404" i="1"/>
  <c r="K461" i="1"/>
  <c r="K37" i="1"/>
  <c r="K47" i="1"/>
  <c r="K71" i="1"/>
  <c r="K153" i="1"/>
  <c r="K9" i="1"/>
  <c r="K33" i="1"/>
  <c r="K140" i="1"/>
  <c r="K248" i="1"/>
  <c r="K361" i="1"/>
  <c r="K472" i="1"/>
  <c r="K19" i="1"/>
  <c r="K91" i="1"/>
  <c r="K150" i="1"/>
  <c r="K183" i="1"/>
  <c r="K217" i="1"/>
  <c r="K258" i="1"/>
  <c r="K372" i="1"/>
  <c r="K383" i="1"/>
  <c r="K421" i="1"/>
  <c r="K432" i="1"/>
  <c r="K478" i="1"/>
  <c r="K506" i="1"/>
  <c r="K557" i="1"/>
  <c r="K634" i="1"/>
  <c r="K658" i="1"/>
  <c r="K675" i="1"/>
  <c r="K702" i="1"/>
  <c r="K729" i="1"/>
  <c r="K740" i="1"/>
  <c r="K13" i="1"/>
  <c r="K95" i="1"/>
  <c r="K105" i="1"/>
  <c r="K173" i="1"/>
  <c r="K323" i="1"/>
  <c r="K437" i="1"/>
  <c r="K43" i="1"/>
  <c r="K67" i="1"/>
  <c r="K115" i="1"/>
  <c r="K29" i="1"/>
  <c r="K53" i="1"/>
  <c r="K77" i="1"/>
  <c r="K101" i="1"/>
  <c r="K136" i="1"/>
  <c r="K159" i="1"/>
  <c r="K203" i="1"/>
  <c r="K235" i="1"/>
  <c r="K277" i="1"/>
  <c r="K308" i="1"/>
  <c r="K329" i="1"/>
  <c r="K356" i="1"/>
  <c r="K389" i="1"/>
  <c r="K405" i="1"/>
  <c r="K416" i="1"/>
  <c r="K451" i="1"/>
  <c r="K501" i="1"/>
  <c r="K582" i="1"/>
  <c r="K613" i="1"/>
  <c r="K681" i="1"/>
  <c r="K692" i="1"/>
  <c r="K708" i="1"/>
  <c r="K334" i="1"/>
  <c r="K358" i="1"/>
  <c r="K382" i="1"/>
  <c r="K406" i="1"/>
  <c r="K430" i="1"/>
  <c r="K462" i="1"/>
  <c r="K486" i="1"/>
  <c r="K559" i="1"/>
  <c r="K611" i="1"/>
  <c r="K659" i="1"/>
  <c r="K689" i="1"/>
  <c r="K713" i="1"/>
  <c r="K737" i="1"/>
  <c r="K330" i="1"/>
  <c r="K402" i="1"/>
  <c r="K426" i="1"/>
  <c r="K482" i="1"/>
  <c r="K547" i="1"/>
  <c r="K587" i="1"/>
  <c r="K655" i="1"/>
  <c r="K685" i="1"/>
  <c r="K709" i="1"/>
  <c r="K354" i="1"/>
  <c r="K378" i="1"/>
  <c r="K458" i="1"/>
  <c r="K507" i="1"/>
  <c r="K340" i="1"/>
  <c r="K364" i="1"/>
  <c r="K388" i="1"/>
  <c r="K412" i="1"/>
  <c r="K436" i="1"/>
  <c r="K468" i="1"/>
  <c r="K524" i="1"/>
  <c r="K565" i="1"/>
  <c r="K624" i="1"/>
  <c r="K695" i="1"/>
  <c r="K719" i="1"/>
  <c r="K318" i="1"/>
  <c r="K346" i="1"/>
  <c r="K370" i="1"/>
  <c r="K394" i="1"/>
  <c r="K418" i="1"/>
  <c r="K450" i="1"/>
  <c r="K474" i="1"/>
  <c r="K499" i="1"/>
  <c r="K530" i="1"/>
  <c r="K571" i="1"/>
  <c r="K639" i="1"/>
  <c r="K677" i="1"/>
  <c r="K701" i="1"/>
  <c r="K725" i="1"/>
  <c r="K342" i="1"/>
  <c r="K366" i="1"/>
  <c r="K390" i="1"/>
  <c r="K414" i="1"/>
  <c r="K438" i="1"/>
  <c r="K470" i="1"/>
  <c r="K495" i="1"/>
  <c r="K526" i="1"/>
  <c r="K567" i="1"/>
  <c r="K635" i="1"/>
  <c r="K665" i="1"/>
  <c r="K697" i="1"/>
  <c r="K721" i="1"/>
  <c r="K328" i="1"/>
  <c r="K352" i="1"/>
  <c r="K376" i="1"/>
  <c r="K400" i="1"/>
  <c r="K424" i="1"/>
  <c r="K456" i="1"/>
  <c r="K480" i="1"/>
  <c r="K505" i="1"/>
  <c r="K545" i="1"/>
  <c r="K585" i="1"/>
  <c r="K645" i="1"/>
  <c r="K683" i="1"/>
  <c r="K707" i="1"/>
  <c r="K731" i="1"/>
  <c r="K338" i="1"/>
  <c r="K362" i="1"/>
  <c r="K386" i="1"/>
  <c r="K410" i="1"/>
  <c r="K434" i="1"/>
  <c r="K466" i="1"/>
  <c r="K563" i="1"/>
  <c r="K622" i="1"/>
  <c r="K663" i="1"/>
  <c r="K693" i="1"/>
  <c r="K717" i="1"/>
  <c r="K741" i="1"/>
</calcChain>
</file>

<file path=xl/sharedStrings.xml><?xml version="1.0" encoding="utf-8"?>
<sst xmlns="http://schemas.openxmlformats.org/spreadsheetml/2006/main" count="3188" uniqueCount="792">
  <si>
    <t>የተያዘበት ቀን ፤ 30-04-2018    የተያዘበት ቦታ ፤ ባቡር ጣቢያ   ያዥው  አካል ፤            የተሸከርካሪ ሰሌዳ ፤              ደ/ቁ የእ/እ/ቡ/እስ/292/2018</t>
  </si>
  <si>
    <t>ሞዴል</t>
  </si>
  <si>
    <t>exchang rate</t>
  </si>
  <si>
    <t>ምርምር</t>
  </si>
  <si>
    <t>ግልፅ ጨረታ ቁጥር 034/2018 የተለያዩ አልበሳት</t>
  </si>
  <si>
    <t>መነሻ ዋጋ</t>
  </si>
  <si>
    <t>ጠቅላላ 
ዋጋ</t>
  </si>
  <si>
    <t>ኮድ</t>
  </si>
  <si>
    <t>M:M (Share number =(Aw 034 B/2018)</t>
  </si>
  <si>
    <t>የመጋዘኖች ብዛት</t>
  </si>
  <si>
    <t xml:space="preserve">የአንድ ዋጋ (CIF) </t>
  </si>
  <si>
    <t>የአንድ ዋጋ 
(fob)</t>
  </si>
  <si>
    <t xml:space="preserve">የአንድ ዋጋ(cif) 
</t>
  </si>
  <si>
    <t xml:space="preserve">የአንድ ዋጋ(tax) 
</t>
  </si>
  <si>
    <t>ተ.ቁ</t>
  </si>
  <si>
    <t xml:space="preserve">የእቃው አይነት </t>
  </si>
  <si>
    <t>ማርክ</t>
  </si>
  <si>
    <t>ስሪት
 ሀገር</t>
  </si>
  <si>
    <t xml:space="preserve">መለኪያ </t>
  </si>
  <si>
    <t>መጋዘን1</t>
  </si>
  <si>
    <t>መጋዘን 2</t>
  </si>
  <si>
    <t>መጋዝን
3</t>
  </si>
  <si>
    <t>ጠቅላላ ድምር</t>
  </si>
  <si>
    <t>ብርድ ልብስ 9.50l.b.s</t>
  </si>
  <si>
    <t>True love</t>
  </si>
  <si>
    <t>P.R.C</t>
  </si>
  <si>
    <t>በቁጥር</t>
  </si>
  <si>
    <t>ብርድ ልብስ 12.80l.b.s</t>
  </si>
  <si>
    <t>Super Tayo</t>
  </si>
  <si>
    <t>የአዋቂ ወንድ ቲሸርት</t>
  </si>
  <si>
    <t>Sun basic</t>
  </si>
  <si>
    <t>China</t>
  </si>
  <si>
    <t>ML4</t>
  </si>
  <si>
    <t>Zara club</t>
  </si>
  <si>
    <t>India</t>
  </si>
  <si>
    <t>Vouge</t>
  </si>
  <si>
    <t>የለውም</t>
  </si>
  <si>
    <t>Top Cloths</t>
  </si>
  <si>
    <t>B</t>
  </si>
  <si>
    <t>Easel</t>
  </si>
  <si>
    <t>Compna</t>
  </si>
  <si>
    <t>FML</t>
  </si>
  <si>
    <t>Fashion</t>
  </si>
  <si>
    <t>Design</t>
  </si>
  <si>
    <t>የአዋቂ ወንድ እጀጌ ሙሉ ቲሸርት</t>
  </si>
  <si>
    <t>ML5</t>
  </si>
  <si>
    <t>WMJX</t>
  </si>
  <si>
    <t>Undeid</t>
  </si>
  <si>
    <t>የአዋቂ ወንድ ቁምጣ</t>
  </si>
  <si>
    <t>DTXIDS</t>
  </si>
  <si>
    <t>CNSK</t>
  </si>
  <si>
    <t>IKY</t>
  </si>
  <si>
    <t>Tiktok</t>
  </si>
  <si>
    <t>IO</t>
  </si>
  <si>
    <t>የአዋቂ ወንድ ሸሚዝ</t>
  </si>
  <si>
    <t>A17</t>
  </si>
  <si>
    <t>የአዋቂ ወንድ እጅጌ ሙሉ ሸሚዝ</t>
  </si>
  <si>
    <t>AAC12</t>
  </si>
  <si>
    <t>HMD</t>
  </si>
  <si>
    <t>HD</t>
  </si>
  <si>
    <t>የአዋቂ ወንድ ጃኬት</t>
  </si>
  <si>
    <t>New Fashion</t>
  </si>
  <si>
    <t>የአዋቂ ወንድ ሴንቴቲክ ጃኬት</t>
  </si>
  <si>
    <t>የአዋቂ ወንድ ቱታ ኮ/ት</t>
  </si>
  <si>
    <t>መጋረጃ ባለ8 ቀለበት</t>
  </si>
  <si>
    <t>በጥንድ</t>
  </si>
  <si>
    <t>ሽቲ ባለ10 ሜትር</t>
  </si>
  <si>
    <t>ባለ ዘርፍ ፎጣ 1m X 1.70m</t>
  </si>
  <si>
    <t>የተዘጋጀ ሽቲ</t>
  </si>
  <si>
    <t>JIU</t>
  </si>
  <si>
    <t>ሽቲ ባለ3 ሜትር</t>
  </si>
  <si>
    <t>የሴት ፎጣ 1m X 2m</t>
  </si>
  <si>
    <t>የአንገት ፎጣ 80cm X 180cm</t>
  </si>
  <si>
    <t>ሽቲ ባለ5 ሜትር</t>
  </si>
  <si>
    <t>ሽቲ ባለ6 ሜትር</t>
  </si>
  <si>
    <t>የፍራሻ መወጠሪያ</t>
  </si>
  <si>
    <t>ዋጋ ያልተሰራ</t>
  </si>
  <si>
    <t>አንሶላ ባለ2  ትራስ</t>
  </si>
  <si>
    <t>አንሶላ ባለ6 ሜትር</t>
  </si>
  <si>
    <t>የተዘጋጀ አንሶላ</t>
  </si>
  <si>
    <t>የትራስ ጨርቅ</t>
  </si>
  <si>
    <t>የአንገት ፎጣ 200cm X 80cm</t>
  </si>
  <si>
    <t>አንሶላ 250cm X 250cm</t>
  </si>
  <si>
    <t>አንሶላ</t>
  </si>
  <si>
    <t>በሴት</t>
  </si>
  <si>
    <t>Quilt cover 220cm X 240cm X 1</t>
  </si>
  <si>
    <t>Bed sheet 250cm X 270cm X 1</t>
  </si>
  <si>
    <t>Pillow Cover 50cm X 80cm X 4</t>
  </si>
  <si>
    <t>Curtain 150cm X 250cm X 2</t>
  </si>
  <si>
    <t>የአዋቂ ወንድ ጅንስ ሱሪ</t>
  </si>
  <si>
    <t>Tower</t>
  </si>
  <si>
    <t>MD</t>
  </si>
  <si>
    <t>Min</t>
  </si>
  <si>
    <t>Industri</t>
  </si>
  <si>
    <t>Nutrit ontarts</t>
  </si>
  <si>
    <t>Z</t>
  </si>
  <si>
    <t>D &amp; G</t>
  </si>
  <si>
    <t>Collection</t>
  </si>
  <si>
    <t>Biginar</t>
  </si>
  <si>
    <t>Zinczi</t>
  </si>
  <si>
    <t>Balanciaga</t>
  </si>
  <si>
    <t>Emperer Armany</t>
  </si>
  <si>
    <t>V</t>
  </si>
  <si>
    <t>F</t>
  </si>
  <si>
    <t>Marigion</t>
  </si>
  <si>
    <t>Chanal</t>
  </si>
  <si>
    <t>Fashion Wear</t>
  </si>
  <si>
    <t>Sanchivil</t>
  </si>
  <si>
    <t>HH</t>
  </si>
  <si>
    <t>Comprtable</t>
  </si>
  <si>
    <t>Louis vution</t>
  </si>
  <si>
    <t>Row</t>
  </si>
  <si>
    <t>Mag uiniad</t>
  </si>
  <si>
    <t>N</t>
  </si>
  <si>
    <t>ABCIED</t>
  </si>
  <si>
    <t>Classic</t>
  </si>
  <si>
    <t>MM</t>
  </si>
  <si>
    <t>M</t>
  </si>
  <si>
    <t>Allo</t>
  </si>
  <si>
    <t>Denim house</t>
  </si>
  <si>
    <t>Pakistan</t>
  </si>
  <si>
    <t>Shakalive</t>
  </si>
  <si>
    <t>Turkey</t>
  </si>
  <si>
    <t>Denim</t>
  </si>
  <si>
    <t>Burberry</t>
  </si>
  <si>
    <t>D</t>
  </si>
  <si>
    <t>New design</t>
  </si>
  <si>
    <t>Wolf</t>
  </si>
  <si>
    <t>NB</t>
  </si>
  <si>
    <t>LV</t>
  </si>
  <si>
    <t>G</t>
  </si>
  <si>
    <t>Gucggi</t>
  </si>
  <si>
    <t>የአዋቂ ወንድ ካኪ ሱሪ</t>
  </si>
  <si>
    <t>Nolo</t>
  </si>
  <si>
    <t>Bangladish</t>
  </si>
  <si>
    <t>Army</t>
  </si>
  <si>
    <t>Breakrules</t>
  </si>
  <si>
    <t>Passoboss</t>
  </si>
  <si>
    <t>Minister</t>
  </si>
  <si>
    <t>ግልፅ ጨረታ ቁጥር 034/2018 የተለያዩ ኤልክትሮሊክ</t>
  </si>
  <si>
    <t>M:M (Share number  =(Aw 034 B/2018)</t>
  </si>
  <si>
    <t>Electric ketteli 2.5L MA2353</t>
  </si>
  <si>
    <t>Marado</t>
  </si>
  <si>
    <t>Electric steam iron</t>
  </si>
  <si>
    <t>Sonifer</t>
  </si>
  <si>
    <t>Rechargeable hair clipper GM-6680</t>
  </si>
  <si>
    <t>Geemy</t>
  </si>
  <si>
    <t>Professional Hair clipper KM-700H</t>
  </si>
  <si>
    <t>Kemei</t>
  </si>
  <si>
    <t>Men's hair clipper DL-1925</t>
  </si>
  <si>
    <t>Daling</t>
  </si>
  <si>
    <t>professional hair clipper KM-248</t>
  </si>
  <si>
    <t>professional hair clipper KM-1115</t>
  </si>
  <si>
    <t>professional hair clipper KM-2273</t>
  </si>
  <si>
    <t>professional hair clipper KM-2269</t>
  </si>
  <si>
    <t>Rechargeable hair clipper KM-809A</t>
  </si>
  <si>
    <t>Men's hair clipper DL-1931</t>
  </si>
  <si>
    <t>Shaver DL-9273</t>
  </si>
  <si>
    <t>Professional hair clipper DL-1761</t>
  </si>
  <si>
    <t>Professional hair clipper KM-873</t>
  </si>
  <si>
    <t>Professional hair clipper WA-2108 (1 ካርቶን እና accessories የሌለው)</t>
  </si>
  <si>
    <t>Waer</t>
  </si>
  <si>
    <t>Professional shaver KM-2806</t>
  </si>
  <si>
    <t>Electric hair clipper KM-6559</t>
  </si>
  <si>
    <t>Hair clipper with no power button &amp; no accessories</t>
  </si>
  <si>
    <t>Professional hair timmer DL-0078</t>
  </si>
  <si>
    <t>Professional hair clipper KM-2335</t>
  </si>
  <si>
    <t>Professional hair clipper GM-6008</t>
  </si>
  <si>
    <t>Professional hair clipper WA-1949</t>
  </si>
  <si>
    <t>Professional hair straightner brush GM-2972  (6 ካርቶን የሌለው)</t>
  </si>
  <si>
    <t>Strightner hair device NHS-870 (1 ካርቶን የሌለው)</t>
  </si>
  <si>
    <t>Now Nova</t>
  </si>
  <si>
    <t>Professional hair dryer NV-9101</t>
  </si>
  <si>
    <t>Nova VA6</t>
  </si>
  <si>
    <t>Professional hair straightner comb KM-1320( ካርቶን የሌለው)</t>
  </si>
  <si>
    <t>3 in1 blender SA-16A</t>
  </si>
  <si>
    <t>Super abusalama</t>
  </si>
  <si>
    <t>3 in1 blender BL-16A</t>
  </si>
  <si>
    <t>Power star</t>
  </si>
  <si>
    <t xml:space="preserve">REASON </t>
  </si>
  <si>
    <t>ግልፅ ጨረታ ቁጥር 034/2018 የተለያዩ የቤት እና የቢሮ እቃዎች</t>
  </si>
  <si>
    <t xml:space="preserve">ፔርሙዝ ሊትር የሌለው </t>
  </si>
  <si>
    <t>Daad co</t>
  </si>
  <si>
    <t>Dhako</t>
  </si>
  <si>
    <t>Abu salama</t>
  </si>
  <si>
    <t>Qdisco</t>
  </si>
  <si>
    <t>Seed co</t>
  </si>
  <si>
    <t xml:space="preserve">ፔርሙዝ 1.8 ሊትር  </t>
  </si>
  <si>
    <t>የውሃ ማቅረቢያ ባልዲ ባለ8 pcs</t>
  </si>
  <si>
    <t>Dynasty</t>
  </si>
  <si>
    <t>(9PC)</t>
  </si>
  <si>
    <t>የካፌ ጥላ(2 እግር የሌለው)</t>
  </si>
  <si>
    <t>ዋጋ መቆሚያ ላላው ነው የተሰጠው</t>
  </si>
  <si>
    <t>መጥበሻ ባለ30cm</t>
  </si>
  <si>
    <t>Kawashi</t>
  </si>
  <si>
    <t>መጥበሻ ባለ28cm</t>
  </si>
  <si>
    <t>ፔርሙዝ ሠሃን 3pcs</t>
  </si>
  <si>
    <t>Faicon</t>
  </si>
  <si>
    <t>ባለ ጆሮ ብረትድስት 5pcs</t>
  </si>
  <si>
    <t>Casio</t>
  </si>
  <si>
    <t>ሠንደል 12pcs</t>
  </si>
  <si>
    <t>Flute Buqaet</t>
  </si>
  <si>
    <t>በእሽግ</t>
  </si>
  <si>
    <t>reason</t>
  </si>
  <si>
    <t>ግልፅ ጨረታ ቁጥር 034/2018 የተለያዩ ኮስማቲክስች</t>
  </si>
  <si>
    <t>E-DATE</t>
  </si>
  <si>
    <t xml:space="preserve">የአንድ ዋጋ (TAX) </t>
  </si>
  <si>
    <t>ሽቶ 50ml</t>
  </si>
  <si>
    <t>Khamrah</t>
  </si>
  <si>
    <t>U.A.E</t>
  </si>
  <si>
    <t>ሽቶ 100ml</t>
  </si>
  <si>
    <t>Exchange</t>
  </si>
  <si>
    <t>France</t>
  </si>
  <si>
    <t>ሽቶ 100ml (1 ካርቶን የሌለው)</t>
  </si>
  <si>
    <t>Now</t>
  </si>
  <si>
    <t>ሽቶ 80ml</t>
  </si>
  <si>
    <t>Brown</t>
  </si>
  <si>
    <t>Black asad</t>
  </si>
  <si>
    <t>Savuage</t>
  </si>
  <si>
    <t>Savage</t>
  </si>
  <si>
    <t>Won</t>
  </si>
  <si>
    <t>Zara Black</t>
  </si>
  <si>
    <t>Asad</t>
  </si>
  <si>
    <t>Yara</t>
  </si>
  <si>
    <t>Love Sound</t>
  </si>
  <si>
    <t>Victory</t>
  </si>
  <si>
    <t>Jazzab</t>
  </si>
  <si>
    <t>Magic</t>
  </si>
  <si>
    <t>Sganodol</t>
  </si>
  <si>
    <t>Khamhara</t>
  </si>
  <si>
    <t>Amgeint</t>
  </si>
  <si>
    <t>You</t>
  </si>
  <si>
    <t>ሽቶ 100ml ( ካርቶን የሌለው)</t>
  </si>
  <si>
    <t>IS</t>
  </si>
  <si>
    <t>Cobra Sprion</t>
  </si>
  <si>
    <t>V.I.P</t>
  </si>
  <si>
    <t>Castor oil 750ml</t>
  </si>
  <si>
    <t>Eco Forest</t>
  </si>
  <si>
    <t>በኮዳ</t>
  </si>
  <si>
    <t>Coconat Oil 1000ml</t>
  </si>
  <si>
    <t>Parachute</t>
  </si>
  <si>
    <t>Fast henna 12pcs</t>
  </si>
  <si>
    <t>Warder</t>
  </si>
  <si>
    <t>በፓኬት</t>
  </si>
  <si>
    <t>ግልፅ ጨረታ ቁጥር 034/2018 የተለያዩ ንጽህና መጠበቂያ</t>
  </si>
  <si>
    <t>ዳይፐር 100-150cm 30pcs</t>
  </si>
  <si>
    <t>Confy</t>
  </si>
  <si>
    <t>ዳይፐር 120-170cm 30pcs</t>
  </si>
  <si>
    <t>ዳይፐር 11-25kg 50pcs</t>
  </si>
  <si>
    <t>30/06/2030</t>
  </si>
  <si>
    <t>ዳይፐር 16+kg 42pcs</t>
  </si>
  <si>
    <t>ዳይፐር 120-170cm 20pcs</t>
  </si>
  <si>
    <t>Nuna</t>
  </si>
  <si>
    <t>ግልፅ ጨረታ ቁጥር 034/2018 የተለያዩ የመሬት ምንጣፍ</t>
  </si>
  <si>
    <t xml:space="preserve">የአንድ ዋጋ (CIF AND TAX) </t>
  </si>
  <si>
    <t>የመሬት ምንጣፍ 300cm X 400cm</t>
  </si>
  <si>
    <t>የመሬት ምንጣፍ 200cm X 400cm</t>
  </si>
  <si>
    <t>Mushi</t>
  </si>
  <si>
    <t>የመሬት ምንጣፍ 250cm X 350cm</t>
  </si>
  <si>
    <t>የመሬት ምንጣፍ 200cm X 300cm</t>
  </si>
  <si>
    <t>R</t>
  </si>
  <si>
    <t>Araz</t>
  </si>
  <si>
    <t>Jinmuze</t>
  </si>
  <si>
    <t>Xianglin</t>
  </si>
  <si>
    <t>Silk way</t>
  </si>
  <si>
    <t>Bedirogiv</t>
  </si>
  <si>
    <t>Aziz</t>
  </si>
  <si>
    <t>Zehrat</t>
  </si>
  <si>
    <t xml:space="preserve">መስገጃ ምንጣፍ 80cm X 120cm </t>
  </si>
  <si>
    <t>Az Group</t>
  </si>
  <si>
    <t xml:space="preserve">መስገጃ ምንጣፍ 70cm X 110cm </t>
  </si>
  <si>
    <t>Asya</t>
  </si>
  <si>
    <t>Marmara</t>
  </si>
  <si>
    <t>Al baraka</t>
  </si>
  <si>
    <t>ግልፅ ጨረታ ቁጥር 034/2018 የተለያዩ እስፔር ፓርቶች</t>
  </si>
  <si>
    <t>Cable Assy Clutch G5170020</t>
  </si>
  <si>
    <t>TVS</t>
  </si>
  <si>
    <t>Set Plate Clutch G4320690</t>
  </si>
  <si>
    <t>Couter Assy Clutch G4070020</t>
  </si>
  <si>
    <t>Kit breake Shoe comp G4321840</t>
  </si>
  <si>
    <t>Shock absorber Assy rear G2090100</t>
  </si>
  <si>
    <t>የባጃጅ ጎማ 400-8</t>
  </si>
  <si>
    <t>CEAT</t>
  </si>
  <si>
    <t>ግልፅ ጨረታ ቁጥር 034/2018 የተለያዩ ጫማዎች</t>
  </si>
  <si>
    <t>የአዋቂ ወንድ ታኬታ ጫማ</t>
  </si>
  <si>
    <t>Adidas</t>
  </si>
  <si>
    <t>Vitenam</t>
  </si>
  <si>
    <t>Nike</t>
  </si>
  <si>
    <t>Phanton</t>
  </si>
  <si>
    <t>All Star</t>
  </si>
  <si>
    <t>Nike SB</t>
  </si>
  <si>
    <t>Sketchers</t>
  </si>
  <si>
    <t>Colombia</t>
  </si>
  <si>
    <t>Nike Air Jordan</t>
  </si>
  <si>
    <t>የተያዘበት ቀን ፤ 18-05-2018    የተያዘበት ቦታ ፤ ባቡር ጣቢያ   ያዥው  አካል ፤            የተሸከርካሪ ሰሌዳ ፤              ደ/ቁ የእ/እ/ቡ/እስ/294/2018</t>
  </si>
  <si>
    <t>Guavo</t>
  </si>
  <si>
    <t>Sunbasic</t>
  </si>
  <si>
    <t>GML</t>
  </si>
  <si>
    <t>Boruicheng</t>
  </si>
  <si>
    <t>Men</t>
  </si>
  <si>
    <t>Boss</t>
  </si>
  <si>
    <t>Topdawg</t>
  </si>
  <si>
    <t>Harvest</t>
  </si>
  <si>
    <t>NFL</t>
  </si>
  <si>
    <t>Amiri</t>
  </si>
  <si>
    <t>Supreme</t>
  </si>
  <si>
    <t>YR.Nanhai</t>
  </si>
  <si>
    <t>Cardeiro</t>
  </si>
  <si>
    <t>Desng</t>
  </si>
  <si>
    <t>Mufiasiti</t>
  </si>
  <si>
    <t>የአዋቂ ወንድ እጅጌ ሙሉ ቲሸርት</t>
  </si>
  <si>
    <t>ሽቲ ባለ 3ሜትር</t>
  </si>
  <si>
    <t>ባለዘርፍ ፎጣ 1m X 1.70m</t>
  </si>
  <si>
    <t>ሽቲ ከነፎጣው ሽቲ 3ሜትር ፎጣ 1m X 2m</t>
  </si>
  <si>
    <t>ሽቲ ባለ 6ሜትር</t>
  </si>
  <si>
    <t>ሽቲ ባለ 5ሜትር</t>
  </si>
  <si>
    <t>አንሶላ ባለ 6ሜትር</t>
  </si>
  <si>
    <t>አንሶላ ባለ 11ሜትር</t>
  </si>
  <si>
    <t>የተዘጋጀ አንሶላ 2m X 2.50m</t>
  </si>
  <si>
    <t>አንሶላ 6pcs 220cm X 240cm</t>
  </si>
  <si>
    <t>LY</t>
  </si>
  <si>
    <t>አንሶላ 6pcs (quilt cover 220cm *240cm=1),(bed sheet 250*270=1),pilow cover 50*80=4)</t>
  </si>
  <si>
    <t>ኢማመታ</t>
  </si>
  <si>
    <t>Super Sama wade</t>
  </si>
  <si>
    <t>Alo</t>
  </si>
  <si>
    <t>Gugci</t>
  </si>
  <si>
    <t>Live</t>
  </si>
  <si>
    <t>DG</t>
  </si>
  <si>
    <t>AB</t>
  </si>
  <si>
    <t>Eager</t>
  </si>
  <si>
    <t>Edgey</t>
  </si>
  <si>
    <t>Nunemeon</t>
  </si>
  <si>
    <t>Designer</t>
  </si>
  <si>
    <t>Handmade</t>
  </si>
  <si>
    <t>Trademark</t>
  </si>
  <si>
    <t>Ne</t>
  </si>
  <si>
    <t>Zengz</t>
  </si>
  <si>
    <t>A</t>
  </si>
  <si>
    <t>Polo</t>
  </si>
  <si>
    <t>Burbreey</t>
  </si>
  <si>
    <t>Idezone</t>
  </si>
  <si>
    <t>W</t>
  </si>
  <si>
    <t>Black</t>
  </si>
  <si>
    <t>Paris</t>
  </si>
  <si>
    <t>AGK</t>
  </si>
  <si>
    <t>Gviehcny</t>
  </si>
  <si>
    <t>NI</t>
  </si>
  <si>
    <t>Kallas</t>
  </si>
  <si>
    <t>Jeans</t>
  </si>
  <si>
    <t>Hom</t>
  </si>
  <si>
    <t>Off</t>
  </si>
  <si>
    <t>Good</t>
  </si>
  <si>
    <t>Summer</t>
  </si>
  <si>
    <t>Tommy</t>
  </si>
  <si>
    <t>Shakaveli</t>
  </si>
  <si>
    <t>Zara</t>
  </si>
  <si>
    <t>Nothing</t>
  </si>
  <si>
    <t>H</t>
  </si>
  <si>
    <t>Perfect</t>
  </si>
  <si>
    <t>Power</t>
  </si>
  <si>
    <t>Art</t>
  </si>
  <si>
    <t>Clothing</t>
  </si>
  <si>
    <t>SCF</t>
  </si>
  <si>
    <t>Space</t>
  </si>
  <si>
    <t>ER</t>
  </si>
  <si>
    <t>Ci</t>
  </si>
  <si>
    <t>Y</t>
  </si>
  <si>
    <t>Highway</t>
  </si>
  <si>
    <t>Nature</t>
  </si>
  <si>
    <t>XIFS</t>
  </si>
  <si>
    <t>VGZX</t>
  </si>
  <si>
    <t>Maring</t>
  </si>
  <si>
    <t>Pasoboss</t>
  </si>
  <si>
    <t>የአዋቂ ወንድ ሽፍን ጫማ</t>
  </si>
  <si>
    <t>Nike Skate</t>
  </si>
  <si>
    <t>Adidas Samba</t>
  </si>
  <si>
    <t>Nike AirForce</t>
  </si>
  <si>
    <t>Nike Bike Air</t>
  </si>
  <si>
    <t>Nike Tn Air</t>
  </si>
  <si>
    <t>Jordan 75</t>
  </si>
  <si>
    <t>NB Freshfom</t>
  </si>
  <si>
    <t>Nike Camfiride</t>
  </si>
  <si>
    <t xml:space="preserve">Sketchers Aircool </t>
  </si>
  <si>
    <t>Sketchers Max</t>
  </si>
  <si>
    <t>Sketchers Molstar</t>
  </si>
  <si>
    <t>Sketchers Sport</t>
  </si>
  <si>
    <t>Reebok</t>
  </si>
  <si>
    <t>Adidas Campus</t>
  </si>
  <si>
    <t>Nike Air Gucci</t>
  </si>
  <si>
    <t>Nike Air Dior</t>
  </si>
  <si>
    <t>Nike Zoom</t>
  </si>
  <si>
    <t>Nike Shok</t>
  </si>
  <si>
    <t>Air Jordan</t>
  </si>
  <si>
    <t>Nike Air venom</t>
  </si>
  <si>
    <t>Nike Air AF1</t>
  </si>
  <si>
    <t>Nike Pegasus</t>
  </si>
  <si>
    <t>Delta</t>
  </si>
  <si>
    <t>England</t>
  </si>
  <si>
    <t>Vans</t>
  </si>
  <si>
    <t>Goupu</t>
  </si>
  <si>
    <t>Balenciaga</t>
  </si>
  <si>
    <t>Italy</t>
  </si>
  <si>
    <t>ግልፅ ጨረታ ቁጥር 034/2018 የተለያዩ ኤልክትሮሊክስ</t>
  </si>
  <si>
    <t>Professional hair clipper Km-1113 (2 ካርቶን የሌለው)</t>
  </si>
  <si>
    <t>Professional hair clipper GM-6008  (4 ካርቶን የሌለው)</t>
  </si>
  <si>
    <t>Professional hair clipper KM-6680 (ካርቶን የሌለው)</t>
  </si>
  <si>
    <t>Professional hair clipper GM-6680(ካርቶን የሌለው)</t>
  </si>
  <si>
    <t>Professional hair clipper KM-700H</t>
  </si>
  <si>
    <t>የፀጉር ማሽን (ካርቶን የሌለው)</t>
  </si>
  <si>
    <t>Professional hair straightner brush GM-2972 (2 ካርቶን የሌለው)</t>
  </si>
  <si>
    <t>Pro gemei</t>
  </si>
  <si>
    <t>Professional hair straightner brush GM-2972 (4 ካርቶን የሌለው)</t>
  </si>
  <si>
    <t>Gemei</t>
  </si>
  <si>
    <t>Professional hair straightner NHC-473CRM</t>
  </si>
  <si>
    <t>Nova</t>
  </si>
  <si>
    <t>Straight hair device NHS-870(1 ካርቶን የሌለው)</t>
  </si>
  <si>
    <t>New Nova</t>
  </si>
  <si>
    <t>Elecrtic hair brush BC120 (ካርቶን የሌለው)</t>
  </si>
  <si>
    <t>Infiniti pro</t>
  </si>
  <si>
    <t>የሞባይል cover A06 4g</t>
  </si>
  <si>
    <t>የሞባይል cover IP11 pro max</t>
  </si>
  <si>
    <t>My choice</t>
  </si>
  <si>
    <t>የሞባይል cover Sam A15 4g/5g</t>
  </si>
  <si>
    <t>Fashion Case</t>
  </si>
  <si>
    <t>የሞባይል cover Sam A54 5g</t>
  </si>
  <si>
    <t>የሞባይል cover Sam A25 5g</t>
  </si>
  <si>
    <t xml:space="preserve">የሞባይል cover </t>
  </si>
  <si>
    <t>3 in 1 blender SA-16A</t>
  </si>
  <si>
    <t>Super Abusalama</t>
  </si>
  <si>
    <t>ግልፅ ጨረታ ቁጥር 034/2018 የተለያዩ የቤት እና የቢሮ ዕቃዎች</t>
  </si>
  <si>
    <t xml:space="preserve">ፔርሙዝ ባለማንጠልጠያ ሊትር የሌለው </t>
  </si>
  <si>
    <t xml:space="preserve">ፔርሙዝ  ሊትር የሌለው </t>
  </si>
  <si>
    <t>የውሃ ማቅርቢያ ባልዲ 9pcs</t>
  </si>
  <si>
    <t>የፔርሙዝ ሠሀን 3pcs</t>
  </si>
  <si>
    <t>Madware</t>
  </si>
  <si>
    <t>የፔርሙዝ ሠሀን</t>
  </si>
  <si>
    <t>የካፌ ዣንጥል</t>
  </si>
  <si>
    <t xml:space="preserve">ግልፅ ጨረታ ቁጥር 034/2018 የተለያዩ ኮስሞቲክሶች </t>
  </si>
  <si>
    <t>Ecoforst</t>
  </si>
  <si>
    <t>የፀጉር ቅባት 400ml</t>
  </si>
  <si>
    <t>Era-king</t>
  </si>
  <si>
    <t>Malaysia</t>
  </si>
  <si>
    <t>22/08/2028</t>
  </si>
  <si>
    <t>Qaed Alfursan</t>
  </si>
  <si>
    <t>Tool box</t>
  </si>
  <si>
    <t>My love</t>
  </si>
  <si>
    <t>Wy Way</t>
  </si>
  <si>
    <t>Legate</t>
  </si>
  <si>
    <t>13/12/2026</t>
  </si>
  <si>
    <t>ግልፅ ጨረታ ቁጥር 034/2018 የተለያዩ የመሬት ምንጣፎች</t>
  </si>
  <si>
    <t>የመሬት ምንጣፍ 2m X 4m</t>
  </si>
  <si>
    <t>የመሬት ምንጣፍ 3m X 4m</t>
  </si>
  <si>
    <t>የመሬት ምንጣፍ 2m X 3m</t>
  </si>
  <si>
    <t>Safa</t>
  </si>
  <si>
    <t>Xianglil</t>
  </si>
  <si>
    <t>የመሬት ምንጣፍ 200cm X 370cm</t>
  </si>
  <si>
    <t>መስገጃ ምንጣፍ 110cm X 70cm</t>
  </si>
  <si>
    <t>Cekir</t>
  </si>
  <si>
    <t>የተያዘበት ቀን ፤ 29-05-2018    የተያዘበት ቦታ ፤ ከሰመከም   ያዥው  አካል ፤  ፌዳራል ፖሊስ እና የሶማሌ ሚሊሸ        የተሸከርካሪ ሰሌዳ ፤              ደ/ቁ የእ/እ/ቡ/እስ/305/2018</t>
  </si>
  <si>
    <t>የሱፍ ጨርቅ ባለ25yd</t>
  </si>
  <si>
    <t>Tuxedo</t>
  </si>
  <si>
    <t>በጣቃ</t>
  </si>
  <si>
    <t>የሴት ብትን ጨርቅ ባለ25yd</t>
  </si>
  <si>
    <t>Sabrin</t>
  </si>
  <si>
    <t>በጥቅል</t>
  </si>
  <si>
    <t>የመጋረጃ ጨርቅ ባለ83.3ሜ</t>
  </si>
  <si>
    <t xml:space="preserve">የለውም </t>
  </si>
  <si>
    <t>የመጋረጃ ጨርቅ ባለ90.5ሜ</t>
  </si>
  <si>
    <t>የመጋረጃ ጨርቅ ባለ83.4ሜ</t>
  </si>
  <si>
    <t>የመጋረጃ ጨርቅ ባለ81.2ሜ</t>
  </si>
  <si>
    <t>የመጋረጃ ጨርቅ ባለ81.7ሜ</t>
  </si>
  <si>
    <t>የመጋረጃ ጨርቅ ባለ83.8ሜ</t>
  </si>
  <si>
    <t>ግልፅ ጨረታ ቁጥር 034/2018 የተለያዩ ኤልክትሮሊክሶቸ</t>
  </si>
  <si>
    <t>3 in 1 blender 8pcs SA-16A</t>
  </si>
  <si>
    <t>Super daad</t>
  </si>
  <si>
    <t>በካርቶን</t>
  </si>
  <si>
    <t>Solar lantern AH-4008 12pcs</t>
  </si>
  <si>
    <t>Al-huseini</t>
  </si>
  <si>
    <t xml:space="preserve">ግልፅ ጨረታ ቁጥር 034/2018 የተለያዩ የቤት እና የቢሮ እቃዎች </t>
  </si>
  <si>
    <t>Children Toy Car</t>
  </si>
  <si>
    <t>Super car</t>
  </si>
  <si>
    <t xml:space="preserve">በቁጥር </t>
  </si>
  <si>
    <t>Children Toy Car WN-502</t>
  </si>
  <si>
    <t>Sport</t>
  </si>
  <si>
    <t>ፕላስተር 20pcs</t>
  </si>
  <si>
    <t>Bopp Take</t>
  </si>
  <si>
    <t>የዝናብ ሸራ 4 X 5 X 5pcs</t>
  </si>
  <si>
    <t xml:space="preserve">በእሽግ </t>
  </si>
  <si>
    <t>የሞተር ዘይት 12 X 1L</t>
  </si>
  <si>
    <t>Rubia</t>
  </si>
  <si>
    <t>UAE</t>
  </si>
  <si>
    <t>የመኪና ባትሪ N70</t>
  </si>
  <si>
    <t>Dongah</t>
  </si>
  <si>
    <t>Korea</t>
  </si>
  <si>
    <t>የመኪና ባትሪ NS40L</t>
  </si>
  <si>
    <t>የተያዘበት ቀን ፤ 30/04/2018    የተያዘበት ቦታ ፤ ባቡር ጣቢያ   ያዥው  አካል ፤            የተሸከርካሪ ሰሌዳ ፤              ደ/ቁ የእ/እ/ቡ/እስ/309/2018</t>
  </si>
  <si>
    <t>ግልፅ ጨረታ ቁጥር 034/2018 የተለያዩ ምግብ ነኮች</t>
  </si>
  <si>
    <t>Nescafe Tradico 200g</t>
  </si>
  <si>
    <t>Nestle</t>
  </si>
  <si>
    <t>Brazil</t>
  </si>
  <si>
    <t>ሠርዲን 48 X 95g</t>
  </si>
  <si>
    <t>Ommar</t>
  </si>
  <si>
    <t>Thiland</t>
  </si>
  <si>
    <t>ሠርዲን 95g</t>
  </si>
  <si>
    <t>ሠርዲን 185g</t>
  </si>
  <si>
    <t>Omaar</t>
  </si>
  <si>
    <t>ሠርዲን 48 X 185g</t>
  </si>
  <si>
    <t>ማስቲካ 12 X 14 sticks</t>
  </si>
  <si>
    <t>Trident</t>
  </si>
  <si>
    <t>U.S.A</t>
  </si>
  <si>
    <t>22/08/2026</t>
  </si>
  <si>
    <t>oliva oil 4L</t>
  </si>
  <si>
    <t>Zehara</t>
  </si>
  <si>
    <t>Spain</t>
  </si>
  <si>
    <t>በጣሳ</t>
  </si>
  <si>
    <t>19/05/2028</t>
  </si>
  <si>
    <t>oliva oil 2L</t>
  </si>
  <si>
    <t>ባለእንጨት ከረሚላ 48pcs</t>
  </si>
  <si>
    <t>Confico</t>
  </si>
  <si>
    <t>ባለእንጨት ከረሚላ 700g 50pcs</t>
  </si>
  <si>
    <t>Aroma</t>
  </si>
  <si>
    <t>የተያዘበት ቀን ፤ 29/05/2018    የተያዘበት ቦታ ፤  ከሰመከም   ያዥው  አካል ፤  ፌዳራል ፖሊስ እና የሶማሌ ሚሊሸ           የተሸከርካሪ ሰሌዳ ፤           ደ/ቁ የእ/እ/ቡ/እስ/309/2018</t>
  </si>
  <si>
    <t>REASON</t>
  </si>
  <si>
    <t>Whole oats 900g X 12jars</t>
  </si>
  <si>
    <t>Quaker</t>
  </si>
  <si>
    <t>23/05/2027</t>
  </si>
  <si>
    <t>Instant coffee 6 X 90g</t>
  </si>
  <si>
    <t>David off</t>
  </si>
  <si>
    <t>Swizerland</t>
  </si>
  <si>
    <t>Instant flavoured drink 6 X 2.5kg</t>
  </si>
  <si>
    <t>Foster clerk</t>
  </si>
  <si>
    <t>Malta</t>
  </si>
  <si>
    <t>Milk chocolate with puffed rice 1 X 18 displays X 10 bars X 60g</t>
  </si>
  <si>
    <t>Feastables</t>
  </si>
  <si>
    <t>24/02/2027</t>
  </si>
  <si>
    <t>Chocolate cookies 8 x 180g</t>
  </si>
  <si>
    <t>M &amp; Ms minis</t>
  </si>
  <si>
    <t>Biscuits T22 X 12  304g</t>
  </si>
  <si>
    <t>Nutela</t>
  </si>
  <si>
    <t>24/06/2026</t>
  </si>
  <si>
    <t>BBq Sauce 12 X 18oz (510g)</t>
  </si>
  <si>
    <t>April</t>
  </si>
  <si>
    <t>20/04/2027</t>
  </si>
  <si>
    <t>Chicken masala 12 x 155g</t>
  </si>
  <si>
    <t>Bayara</t>
  </si>
  <si>
    <t>ቴምር 12 X 500g</t>
  </si>
  <si>
    <t>Sahart</t>
  </si>
  <si>
    <t>Saudi Arabia</t>
  </si>
  <si>
    <t>No EX. Date</t>
  </si>
  <si>
    <t>ቴምር 5kg</t>
  </si>
  <si>
    <t>Saad</t>
  </si>
  <si>
    <t>Cream 48 X 150g</t>
  </si>
  <si>
    <t>Fresho</t>
  </si>
  <si>
    <t>Toddler Milk 6 X 800g  1+year</t>
  </si>
  <si>
    <t>Aptamil</t>
  </si>
  <si>
    <t>EU</t>
  </si>
  <si>
    <t>29/12/2026</t>
  </si>
  <si>
    <t xml:space="preserve">ዋጋ ያልተሰራ </t>
  </si>
  <si>
    <t>Toddler Milk 6 X 800g  6-12months</t>
  </si>
  <si>
    <t>Ireland</t>
  </si>
  <si>
    <t>30/01/2027</t>
  </si>
  <si>
    <t>Whipped cream powder 10kg</t>
  </si>
  <si>
    <t>Delik &amp; Kano</t>
  </si>
  <si>
    <t>በከረጢት</t>
  </si>
  <si>
    <t>የተያዘበት ቀን ፤ 06/06/2018    የተያዘበት ቦታ ፤  ከሀረር  ያዥው  አካል ፤           የተሸከርካሪ ሰሌዳ ፤           ደ/ቁ የእ/እ/ቡ/እስ/309/2018</t>
  </si>
  <si>
    <t>የምግብ ዘይት 20ሊትር</t>
  </si>
  <si>
    <t>S/land</t>
  </si>
  <si>
    <t>በጀሪካን</t>
  </si>
  <si>
    <t>ፓስታ 20 X 500g</t>
  </si>
  <si>
    <t>Mutlu</t>
  </si>
  <si>
    <t>30/11/2027</t>
  </si>
  <si>
    <t>Malysia</t>
  </si>
  <si>
    <t>Bahar</t>
  </si>
  <si>
    <t>28/10/2027</t>
  </si>
  <si>
    <t>Hayat</t>
  </si>
  <si>
    <t>Liba</t>
  </si>
  <si>
    <t>ምስር ክክ 15kg</t>
  </si>
  <si>
    <t>Mellow</t>
  </si>
  <si>
    <t>ድፍን ምስር 15kg (1 የተቀደደ)</t>
  </si>
  <si>
    <t xml:space="preserve">ድፍን ምስር 15kg </t>
  </si>
  <si>
    <t>Sortex</t>
  </si>
  <si>
    <t>አጃ ባለ10kg</t>
  </si>
  <si>
    <t>Altin Agaro</t>
  </si>
  <si>
    <t>27/11/2026</t>
  </si>
  <si>
    <t>የምግብ ዘይት 3 ሊትር X 6pcs</t>
  </si>
  <si>
    <t>17/01/2028</t>
  </si>
  <si>
    <t xml:space="preserve">የምግብ ዘይት 3 ሊትር </t>
  </si>
  <si>
    <t>Djibuoti</t>
  </si>
  <si>
    <t>የምግብ ዘይት 5 ሊትር (3 የተቀደደ)</t>
  </si>
  <si>
    <t>Hilwa</t>
  </si>
  <si>
    <t>የዱቄት ወተት 2.5kg</t>
  </si>
  <si>
    <t>Canno</t>
  </si>
  <si>
    <t>Newzealand</t>
  </si>
  <si>
    <t>Anchor</t>
  </si>
  <si>
    <t>21/08/2027</t>
  </si>
  <si>
    <t>Euro</t>
  </si>
  <si>
    <t>22/12/2027</t>
  </si>
  <si>
    <t>ተንጠልጣይ የዱቄት ወተት 60pkt X 25g</t>
  </si>
  <si>
    <t>Ayaan</t>
  </si>
  <si>
    <t>ቴምር ባለ5kg</t>
  </si>
  <si>
    <t>ቴምር ባለ10kg</t>
  </si>
  <si>
    <t>Sandwich biscuits with banana cream 24pcs X 120g</t>
  </si>
  <si>
    <t>Shrina Asol</t>
  </si>
  <si>
    <t>Iran</t>
  </si>
  <si>
    <t>Sandwich biscuits with banana cream  120g</t>
  </si>
  <si>
    <t>15/05/2027</t>
  </si>
  <si>
    <t>Sandwich biscuits with banana cream 2 X 24pcs X 120g</t>
  </si>
  <si>
    <t>ቪንቶ 12 X 710ml</t>
  </si>
  <si>
    <t>19/11/2027</t>
  </si>
  <si>
    <t>ሠርዲን  48 X 95g</t>
  </si>
  <si>
    <t>የሚመጠጥ ፈሳሽ ቸኮሌት 800g X 12 jar</t>
  </si>
  <si>
    <t>Crimla</t>
  </si>
  <si>
    <t>ባለእንጨት ከረሜላ 672g X 17bag</t>
  </si>
  <si>
    <t>Milk moon</t>
  </si>
  <si>
    <t>የሚበጠበጥ ጁስ 4 X 60 X 10g</t>
  </si>
  <si>
    <t>Gega</t>
  </si>
  <si>
    <t>Indonsia</t>
  </si>
  <si>
    <t>ቲማቲም ድልህ 4 X 25 X 50g</t>
  </si>
  <si>
    <t>Rihab</t>
  </si>
  <si>
    <t>17/11/2027</t>
  </si>
  <si>
    <t>ማስቲካ 350pcs X 6jar</t>
  </si>
  <si>
    <t>Stick</t>
  </si>
  <si>
    <t>Safwa</t>
  </si>
  <si>
    <t>Oman</t>
  </si>
  <si>
    <t>የፉርኖ ዱኬት 25kg</t>
  </si>
  <si>
    <t>Al Qubtal</t>
  </si>
  <si>
    <t>Egypt</t>
  </si>
  <si>
    <t>White oats 400g</t>
  </si>
  <si>
    <t>Royal</t>
  </si>
  <si>
    <t>የአትክልት ቅቤ 0.9kg</t>
  </si>
  <si>
    <t>Sheno lega</t>
  </si>
  <si>
    <t>Yemen</t>
  </si>
  <si>
    <t>ባለቴምር ብስኩት 24 X 150g</t>
  </si>
  <si>
    <t>Deemah</t>
  </si>
  <si>
    <t>ቴምር ባለ1kg</t>
  </si>
  <si>
    <t>Al madina</t>
  </si>
  <si>
    <t>14/10/2027</t>
  </si>
  <si>
    <t>Cream chocolate paste 150g / 30pcs</t>
  </si>
  <si>
    <t>Melties</t>
  </si>
  <si>
    <t>በጃር</t>
  </si>
  <si>
    <t>ተንጠልጣይ የዱቄት ወተት 25g</t>
  </si>
  <si>
    <t>ፓስታ 500g</t>
  </si>
  <si>
    <t>ቴምር 1kg X 8pcs</t>
  </si>
  <si>
    <t>Almadina</t>
  </si>
  <si>
    <t>13/10/2027</t>
  </si>
  <si>
    <t>17/10/2026</t>
  </si>
  <si>
    <t>ቴምር 10kg</t>
  </si>
  <si>
    <t>17/05/2027</t>
  </si>
  <si>
    <t>09/08/026</t>
  </si>
  <si>
    <t>22/07/2027</t>
  </si>
  <si>
    <t>16/01/2028</t>
  </si>
  <si>
    <t>Instant flavoured drink 2.5kg X 6</t>
  </si>
  <si>
    <t>Instant flavoured drink 2.5kg</t>
  </si>
  <si>
    <t>Australia</t>
  </si>
  <si>
    <t>20/11/2027</t>
  </si>
  <si>
    <t>የዱቄት ወተት 2.5kg X 6</t>
  </si>
  <si>
    <t>25/01/2028</t>
  </si>
  <si>
    <t>የምግብ ዘይት 3 ሊትር</t>
  </si>
  <si>
    <t>21/01/2028</t>
  </si>
  <si>
    <t>ባለእንጨት ከረሜላ 48pcs</t>
  </si>
  <si>
    <t>ባለእንጨት ከረሜላ 672g</t>
  </si>
  <si>
    <t>Painter pop</t>
  </si>
  <si>
    <t>ስኳር 25kg</t>
  </si>
  <si>
    <t>Renuka</t>
  </si>
  <si>
    <t>Saha</t>
  </si>
  <si>
    <t>ስኳር 25kg (1 የተቀደደ)</t>
  </si>
  <si>
    <t>Shirudut</t>
  </si>
  <si>
    <t>ስኳር 50kg</t>
  </si>
  <si>
    <t>Shidut</t>
  </si>
  <si>
    <t xml:space="preserve">ከቫት በፊት ተጫራች የሚሰጠው  ጠቅላላ ዋጋ  </t>
  </si>
  <si>
    <t xml:space="preserve">የተያዘበት ቀን ፤02/05/2018     የተያዘበት ቦታ ፤ፈንጂስታ አካባቢ     ያዥው  አካል ፤ፌደራል ፖሊስ እና ጉምሩክ ኮምሽን      የተሸከርካሪ ሰሌዳ ፤ድሬ 03-08488 Isuzu  </t>
  </si>
  <si>
    <t>Professional Hair Dryer 1x24pcs NV-9103  5000w</t>
  </si>
  <si>
    <t>PRC</t>
  </si>
  <si>
    <t>Professional Hair Dryer 1x24pcs NV-9037  5000w</t>
  </si>
  <si>
    <t>Professional Hair Dryer 1x24pcs NV-9032  5000w</t>
  </si>
  <si>
    <t xml:space="preserve"> </t>
  </si>
  <si>
    <t>ኮድ-2</t>
  </si>
  <si>
    <t>ኮድ-3</t>
  </si>
  <si>
    <t>ኮድ-4</t>
  </si>
  <si>
    <t>ኮድ-5</t>
  </si>
  <si>
    <t>ኮድ-6</t>
  </si>
  <si>
    <t>ኮድ-7</t>
  </si>
  <si>
    <t>ኮድ-8</t>
  </si>
  <si>
    <t>ኮድ-11</t>
  </si>
  <si>
    <t>ኮድ-12</t>
  </si>
  <si>
    <t>ኮድ-13</t>
  </si>
  <si>
    <t>ኮድ-14</t>
  </si>
  <si>
    <t>ኮድ-15</t>
  </si>
  <si>
    <t>ኮድ-16</t>
  </si>
  <si>
    <t>ኮድ-17</t>
  </si>
  <si>
    <t>ኮድ-18</t>
  </si>
  <si>
    <t>ኮድ-19</t>
  </si>
  <si>
    <t>ኮድ-20</t>
  </si>
  <si>
    <t>ኮድ-22</t>
  </si>
  <si>
    <t>ኮድ-21-ገፅ-1</t>
  </si>
  <si>
    <t>ኮድ-21-ገፅ-2</t>
  </si>
  <si>
    <t>ኮድ-21-ገፅ-3</t>
  </si>
  <si>
    <t>ኮድ-10-ገፅ-1</t>
  </si>
  <si>
    <t>ኮድ-10-ገፅ-2</t>
  </si>
  <si>
    <t>ኮድ-9-ገፅ-1</t>
  </si>
  <si>
    <t>ኮድ-9-ገፅ-2</t>
  </si>
  <si>
    <t>ኮድ-9-ገፅ-3</t>
  </si>
  <si>
    <t>ኮድ-9-ገፅ-4</t>
  </si>
  <si>
    <t>ኮድ-1 -ገፅ-1</t>
  </si>
  <si>
    <t>ኮድ-1 -ገፅ-2</t>
  </si>
  <si>
    <t>ኮድ-1 -ገፅ-3</t>
  </si>
  <si>
    <t xml:space="preserve">የተያዘበት ቀን ፤1/05/2018                                የተያዘበት ቦታ ፤ሽልሌ  አካባቢ                                   ያዥው  አካል ፤                   የተሸከርካሪ ሰሌዳ </t>
  </si>
  <si>
    <t>ጎማ 12.00R20  2ቱ ፕላፕ ና ከለመደሪ የሌለዉ</t>
  </si>
  <si>
    <t>black hawk</t>
  </si>
  <si>
    <t>china</t>
  </si>
  <si>
    <t>ኮድ-</t>
  </si>
  <si>
    <t>ግልፅ ጨረታ ቁጥር 036/2018 የተለያዩ እስፔርፓርት</t>
  </si>
  <si>
    <t>የተያዘበት ቀን ፤ 16-05-2018    የተያዘበት ቦታ ፤ ከሀረር   ያዥው  አካል ፤            የተሸከርካሪ ሰሌዳ ፤            ደ/ቁ የእ/እ/ቡ/እስ/301/2018 ደ.ቁ የአያያዝ 301</t>
  </si>
  <si>
    <t>ግልፅ  ጨረታ  ቁጥር 033-2018 የተለያዩ  የምግብነኮች</t>
  </si>
  <si>
    <t>የምግብ   ዘይት ባለ20L</t>
  </si>
  <si>
    <t>OMAAR</t>
  </si>
  <si>
    <t>S.land</t>
  </si>
  <si>
    <t>በጀርካን</t>
  </si>
  <si>
    <t>ኮድ-32</t>
  </si>
  <si>
    <t>የምግብ   ዘይት ባለ3L</t>
  </si>
  <si>
    <t>HAYAT</t>
  </si>
  <si>
    <t>ሩዝ ባለ25 kg</t>
  </si>
  <si>
    <t>ppp</t>
  </si>
  <si>
    <t>ስካር  ባለ25 kg አንዱ አፉ የተከፈተ</t>
  </si>
  <si>
    <t xml:space="preserve">ስካር  ባለ25 kg </t>
  </si>
  <si>
    <t>fssat</t>
  </si>
  <si>
    <t>ስካር   ባለ25 kg</t>
  </si>
  <si>
    <t>silvor</t>
  </si>
  <si>
    <t>የለዉም</t>
  </si>
  <si>
    <t>ስካር    ባለ50 kg</t>
  </si>
  <si>
    <t>የዳቦ  ዱቄት  ባለ25 kg</t>
  </si>
  <si>
    <t>egypt</t>
  </si>
  <si>
    <t>ሰርዲር 48×95g</t>
  </si>
  <si>
    <t>Thaialnd</t>
  </si>
  <si>
    <t>አናናስ 12×565g</t>
  </si>
  <si>
    <t>bader</t>
  </si>
  <si>
    <t>የአትክልት ቅቤ 09.kg</t>
  </si>
  <si>
    <t>sheno</t>
  </si>
  <si>
    <t>yemen</t>
  </si>
  <si>
    <t>15/07/2027</t>
  </si>
  <si>
    <t>ብስኩት 1×24pcs×120g</t>
  </si>
  <si>
    <t>Shirinasal</t>
  </si>
  <si>
    <t>iran</t>
  </si>
  <si>
    <t>22/03/2027</t>
  </si>
  <si>
    <t>ብስኩት 24pcs×150gram</t>
  </si>
  <si>
    <t>deemah</t>
  </si>
  <si>
    <t>በካረቶን</t>
  </si>
  <si>
    <t>Abululad 48×90gram</t>
  </si>
  <si>
    <t>teashop</t>
  </si>
  <si>
    <t>ፓስታ 20×500gram</t>
  </si>
  <si>
    <t>parlin</t>
  </si>
  <si>
    <t>oman</t>
  </si>
  <si>
    <t>ድፍን ምስር 15kg</t>
  </si>
  <si>
    <t>mellow</t>
  </si>
  <si>
    <t>uae</t>
  </si>
  <si>
    <t>mutulu</t>
  </si>
  <si>
    <t>turkey</t>
  </si>
  <si>
    <t>በካርቶ</t>
  </si>
  <si>
    <t>14/09/2027</t>
  </si>
  <si>
    <t>ቴምር  5kg</t>
  </si>
  <si>
    <t>saad</t>
  </si>
  <si>
    <t>ማስቲካ 250g/20paket 5pes</t>
  </si>
  <si>
    <t>banana</t>
  </si>
  <si>
    <t>vietnam</t>
  </si>
  <si>
    <t>13/04/2027</t>
  </si>
  <si>
    <t>ባለ  እንጨት ከረሜላ 50pcs (100g)</t>
  </si>
  <si>
    <t>Bubblegum</t>
  </si>
  <si>
    <t>lollypop</t>
  </si>
  <si>
    <t>ቸኮሌት 105pcs 472gram</t>
  </si>
  <si>
    <t>Happy caw</t>
  </si>
  <si>
    <t>ባለ እንጨት ከረሜላ 48pcs (100g)</t>
  </si>
  <si>
    <t>bon bon</t>
  </si>
  <si>
    <t>ባለ  እንጨት ከረሜላ100gram (48pcs)</t>
  </si>
  <si>
    <t>big</t>
  </si>
  <si>
    <t>bigbll</t>
  </si>
  <si>
    <t>bigboII</t>
  </si>
  <si>
    <t>ዘይቱና   ጁስ 250ml</t>
  </si>
  <si>
    <t xml:space="preserve">faragello </t>
  </si>
  <si>
    <t>21/07/2027</t>
  </si>
  <si>
    <t>ሰርዲን  95gram</t>
  </si>
  <si>
    <t>ommar</t>
  </si>
  <si>
    <t>thailand</t>
  </si>
  <si>
    <t>mututu</t>
  </si>
  <si>
    <t>turey</t>
  </si>
  <si>
    <t>ቴምር 1KG</t>
  </si>
  <si>
    <t>almadina</t>
  </si>
  <si>
    <t>white  otatr   400g</t>
  </si>
  <si>
    <t>royal</t>
  </si>
  <si>
    <t>natural  oats  400g</t>
  </si>
  <si>
    <t>rino</t>
  </si>
  <si>
    <t>Crimla chocolat 48pcs×384g</t>
  </si>
  <si>
    <t>fun2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</si>
</sst>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Power Geez Unicode3"/>
    </font>
    <font>
      <sz val="12"/>
      <color rgb="FF262626"/>
      <name val="Power Geez Unicode3"/>
    </font>
    <font>
      <sz val="10"/>
      <color rgb="FF000000"/>
      <name val="Power Geez Unicode3"/>
    </font>
    <font>
      <sz val="10"/>
      <color rgb="FF262626"/>
      <name val="Power Geez Unicode3"/>
    </font>
    <font>
      <sz val="10"/>
      <color theme="1" tint="0.14993743705557422"/>
      <name val="Power Geez Unicode3"/>
    </font>
    <font>
      <sz val="10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Power Geez Unicode3"/>
    </font>
    <font>
      <sz val="11"/>
      <color theme="1"/>
      <name val="Power Geez Unicode3"/>
    </font>
    <font>
      <sz val="10"/>
      <color theme="1"/>
      <name val="Calibri"/>
      <family val="2"/>
      <scheme val="minor"/>
    </font>
    <font>
      <sz val="11"/>
      <color rgb="FF262626"/>
      <name val="Power Geez Unicode3"/>
    </font>
    <font>
      <sz val="11"/>
      <color rgb="FF000000"/>
      <name val="Power Geez Unicode3"/>
    </font>
    <font>
      <sz val="11"/>
      <color theme="1" tint="0.14993743705557422"/>
      <name val="Power Geez Unicode3"/>
    </font>
    <font>
      <sz val="11"/>
      <name val="Power Geez Unicode3"/>
    </font>
    <font>
      <b/>
      <sz val="11"/>
      <color rgb="FF000000"/>
      <name val="Power Geez Unicode3"/>
    </font>
    <font>
      <b/>
      <sz val="10"/>
      <color theme="1"/>
      <name val="Power Geez Unicode3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374370555742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01">
    <xf numFmtId="0" fontId="0" fillId="0" borderId="0" xfId="0"/>
    <xf numFmtId="0" fontId="4" fillId="3" borderId="1" xfId="0" applyFont="1" applyFill="1" applyBorder="1" applyAlignment="1"/>
    <xf numFmtId="0" fontId="4" fillId="4" borderId="1" xfId="0" applyNumberFormat="1" applyFont="1" applyFill="1" applyBorder="1" applyAlignment="1">
      <alignment horizontal="left"/>
    </xf>
    <xf numFmtId="0" fontId="7" fillId="5" borderId="1" xfId="0" applyFont="1" applyFill="1" applyBorder="1"/>
    <xf numFmtId="0" fontId="6" fillId="5" borderId="1" xfId="0" applyFont="1" applyFill="1" applyBorder="1" applyAlignment="1">
      <alignment vertical="center" wrapText="1"/>
    </xf>
    <xf numFmtId="0" fontId="4" fillId="4" borderId="1" xfId="0" applyNumberFormat="1" applyFont="1" applyFill="1" applyBorder="1" applyAlignment="1">
      <alignment vertical="center"/>
    </xf>
    <xf numFmtId="0" fontId="4" fillId="4" borderId="1" xfId="0" applyNumberFormat="1" applyFont="1" applyFill="1" applyBorder="1" applyAlignment="1">
      <alignment horizontal="left"/>
    </xf>
    <xf numFmtId="0" fontId="4" fillId="4" borderId="1" xfId="0" applyNumberFormat="1" applyFont="1" applyFill="1" applyBorder="1" applyAlignment="1">
      <alignment horizontal="left" vertical="top"/>
    </xf>
    <xf numFmtId="0" fontId="4" fillId="4" borderId="1" xfId="0" applyNumberFormat="1" applyFont="1" applyFill="1" applyBorder="1" applyAlignment="1">
      <alignment wrapText="1"/>
    </xf>
    <xf numFmtId="0" fontId="4" fillId="4" borderId="1" xfId="0" applyNumberFormat="1" applyFont="1" applyFill="1" applyBorder="1" applyAlignment="1"/>
    <xf numFmtId="0" fontId="4" fillId="4" borderId="1" xfId="0" applyNumberFormat="1" applyFont="1" applyFill="1" applyBorder="1" applyAlignment="1">
      <alignment horizontal="left" vertical="center"/>
    </xf>
    <xf numFmtId="0" fontId="4" fillId="4" borderId="1" xfId="0" applyNumberFormat="1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wrapText="1"/>
    </xf>
    <xf numFmtId="43" fontId="0" fillId="0" borderId="1" xfId="1" applyFont="1" applyBorder="1"/>
    <xf numFmtId="0" fontId="0" fillId="7" borderId="1" xfId="0" applyFill="1" applyBorder="1"/>
    <xf numFmtId="0" fontId="0" fillId="0" borderId="1" xfId="0" applyBorder="1" applyAlignment="1">
      <alignment horizontal="left"/>
    </xf>
    <xf numFmtId="0" fontId="2" fillId="7" borderId="1" xfId="2" applyFill="1" applyBorder="1"/>
    <xf numFmtId="0" fontId="0" fillId="8" borderId="1" xfId="0" applyFill="1" applyBorder="1"/>
    <xf numFmtId="0" fontId="9" fillId="0" borderId="1" xfId="0" applyFont="1" applyBorder="1" applyAlignment="1">
      <alignment wrapText="1"/>
    </xf>
    <xf numFmtId="0" fontId="3" fillId="9" borderId="1" xfId="0" applyFont="1" applyFill="1" applyBorder="1"/>
    <xf numFmtId="43" fontId="3" fillId="9" borderId="1" xfId="1" applyFont="1" applyFill="1" applyBorder="1"/>
    <xf numFmtId="14" fontId="0" fillId="0" borderId="1" xfId="0" applyNumberFormat="1" applyBorder="1"/>
    <xf numFmtId="0" fontId="1" fillId="0" borderId="1" xfId="3" applyBorder="1"/>
    <xf numFmtId="0" fontId="1" fillId="0" borderId="1" xfId="3" applyBorder="1" applyAlignment="1">
      <alignment wrapText="1"/>
    </xf>
    <xf numFmtId="0" fontId="3" fillId="10" borderId="1" xfId="3" applyFont="1" applyFill="1" applyBorder="1"/>
    <xf numFmtId="0" fontId="3" fillId="10" borderId="1" xfId="3" applyFont="1" applyFill="1" applyBorder="1" applyAlignment="1">
      <alignment wrapText="1"/>
    </xf>
    <xf numFmtId="0" fontId="3" fillId="10" borderId="1" xfId="0" applyFont="1" applyFill="1" applyBorder="1"/>
    <xf numFmtId="43" fontId="3" fillId="10" borderId="1" xfId="1" applyFont="1" applyFill="1" applyBorder="1"/>
    <xf numFmtId="0" fontId="3" fillId="10" borderId="1" xfId="0" applyFont="1" applyFill="1" applyBorder="1" applyAlignment="1">
      <alignment wrapText="1"/>
    </xf>
    <xf numFmtId="0" fontId="1" fillId="0" borderId="1" xfId="3" applyBorder="1" applyAlignment="1">
      <alignment horizontal="left"/>
    </xf>
    <xf numFmtId="0" fontId="1" fillId="0" borderId="1" xfId="3" applyBorder="1" applyAlignment="1">
      <alignment horizontal="left" wrapText="1"/>
    </xf>
    <xf numFmtId="0" fontId="1" fillId="0" borderId="1" xfId="4" applyBorder="1"/>
    <xf numFmtId="0" fontId="0" fillId="0" borderId="4" xfId="0" applyFill="1" applyBorder="1"/>
    <xf numFmtId="14" fontId="1" fillId="0" borderId="1" xfId="4" applyNumberFormat="1" applyBorder="1"/>
    <xf numFmtId="0" fontId="0" fillId="0" borderId="0" xfId="0" applyBorder="1"/>
    <xf numFmtId="0" fontId="0" fillId="0" borderId="1" xfId="0" applyFont="1" applyBorder="1" applyAlignment="1">
      <alignment wrapText="1"/>
    </xf>
    <xf numFmtId="0" fontId="10" fillId="0" borderId="1" xfId="0" applyFont="1" applyBorder="1"/>
    <xf numFmtId="0" fontId="10" fillId="0" borderId="1" xfId="0" applyFont="1" applyBorder="1" applyAlignment="1">
      <alignment wrapText="1"/>
    </xf>
    <xf numFmtId="0" fontId="0" fillId="0" borderId="1" xfId="0" applyFont="1" applyBorder="1"/>
    <xf numFmtId="0" fontId="0" fillId="0" borderId="7" xfId="0" applyBorder="1"/>
    <xf numFmtId="0" fontId="0" fillId="0" borderId="7" xfId="0" applyFont="1" applyBorder="1"/>
    <xf numFmtId="14" fontId="0" fillId="0" borderId="7" xfId="0" applyNumberFormat="1" applyBorder="1"/>
    <xf numFmtId="0" fontId="0" fillId="0" borderId="0" xfId="0" applyAlignment="1">
      <alignment wrapText="1"/>
    </xf>
    <xf numFmtId="0" fontId="0" fillId="7" borderId="1" xfId="0" applyFill="1" applyBorder="1" applyAlignment="1">
      <alignment wrapText="1"/>
    </xf>
    <xf numFmtId="43" fontId="0" fillId="7" borderId="1" xfId="1" applyFont="1" applyFill="1" applyBorder="1"/>
    <xf numFmtId="0" fontId="4" fillId="4" borderId="2" xfId="0" applyFont="1" applyFill="1" applyBorder="1" applyAlignment="1">
      <alignment vertical="center"/>
    </xf>
    <xf numFmtId="0" fontId="4" fillId="3" borderId="3" xfId="0" applyFont="1" applyFill="1" applyBorder="1" applyAlignment="1"/>
    <xf numFmtId="0" fontId="4" fillId="3" borderId="5" xfId="0" applyFont="1" applyFill="1" applyBorder="1" applyAlignment="1"/>
    <xf numFmtId="0" fontId="4" fillId="3" borderId="6" xfId="0" applyFont="1" applyFill="1" applyBorder="1" applyAlignment="1"/>
    <xf numFmtId="0" fontId="9" fillId="7" borderId="1" xfId="0" applyFont="1" applyFill="1" applyBorder="1" applyAlignment="1">
      <alignment wrapText="1"/>
    </xf>
    <xf numFmtId="0" fontId="3" fillId="7" borderId="1" xfId="0" applyFont="1" applyFill="1" applyBorder="1"/>
    <xf numFmtId="43" fontId="3" fillId="7" borderId="1" xfId="1" applyFont="1" applyFill="1" applyBorder="1"/>
    <xf numFmtId="0" fontId="3" fillId="7" borderId="1" xfId="0" applyFont="1" applyFill="1" applyBorder="1" applyAlignment="1">
      <alignment wrapText="1"/>
    </xf>
    <xf numFmtId="0" fontId="0" fillId="7" borderId="1" xfId="0" applyFont="1" applyFill="1" applyBorder="1" applyAlignment="1">
      <alignment wrapText="1"/>
    </xf>
    <xf numFmtId="14" fontId="0" fillId="7" borderId="1" xfId="0" applyNumberFormat="1" applyFill="1" applyBorder="1"/>
    <xf numFmtId="43" fontId="0" fillId="0" borderId="1" xfId="0" applyNumberFormat="1" applyBorder="1"/>
    <xf numFmtId="43" fontId="3" fillId="0" borderId="1" xfId="0" applyNumberFormat="1" applyFont="1" applyBorder="1"/>
    <xf numFmtId="43" fontId="0" fillId="0" borderId="0" xfId="1" applyFont="1" applyBorder="1"/>
    <xf numFmtId="43" fontId="3" fillId="0" borderId="1" xfId="1" applyFont="1" applyBorder="1"/>
    <xf numFmtId="0" fontId="3" fillId="7" borderId="1" xfId="3" applyFont="1" applyFill="1" applyBorder="1"/>
    <xf numFmtId="0" fontId="3" fillId="7" borderId="1" xfId="3" applyFont="1" applyFill="1" applyBorder="1" applyAlignment="1">
      <alignment wrapText="1"/>
    </xf>
    <xf numFmtId="0" fontId="11" fillId="0" borderId="0" xfId="0" applyFont="1" applyBorder="1" applyAlignment="1">
      <alignment horizontal="center"/>
    </xf>
    <xf numFmtId="0" fontId="4" fillId="4" borderId="1" xfId="1" applyNumberFormat="1" applyFont="1" applyFill="1" applyBorder="1" applyAlignment="1">
      <alignment horizontal="left" vertical="top"/>
    </xf>
    <xf numFmtId="0" fontId="4" fillId="4" borderId="1" xfId="1" applyNumberFormat="1" applyFont="1" applyFill="1" applyBorder="1" applyAlignment="1">
      <alignment horizontal="left" vertical="center" wrapText="1"/>
    </xf>
    <xf numFmtId="0" fontId="0" fillId="0" borderId="1" xfId="1" applyNumberFormat="1" applyFont="1" applyBorder="1"/>
    <xf numFmtId="0" fontId="3" fillId="9" borderId="1" xfId="1" applyNumberFormat="1" applyFont="1" applyFill="1" applyBorder="1"/>
    <xf numFmtId="0" fontId="3" fillId="7" borderId="1" xfId="1" applyNumberFormat="1" applyFont="1" applyFill="1" applyBorder="1"/>
    <xf numFmtId="0" fontId="11" fillId="0" borderId="0" xfId="1" applyNumberFormat="1" applyFont="1" applyBorder="1" applyAlignment="1">
      <alignment horizontal="center"/>
    </xf>
    <xf numFmtId="0" fontId="0" fillId="0" borderId="0" xfId="1" applyNumberFormat="1" applyFont="1" applyBorder="1"/>
    <xf numFmtId="0" fontId="0" fillId="0" borderId="0" xfId="1" applyNumberFormat="1" applyFont="1"/>
    <xf numFmtId="0" fontId="0" fillId="7" borderId="1" xfId="1" applyNumberFormat="1" applyFont="1" applyFill="1" applyBorder="1"/>
    <xf numFmtId="0" fontId="11" fillId="0" borderId="2" xfId="0" applyFont="1" applyBorder="1" applyAlignment="1">
      <alignment horizontal="center" vertical="center"/>
    </xf>
    <xf numFmtId="0" fontId="4" fillId="3" borderId="1" xfId="0" applyFont="1" applyFill="1" applyBorder="1" applyAlignment="1"/>
    <xf numFmtId="0" fontId="4" fillId="4" borderId="1" xfId="0" applyNumberFormat="1" applyFont="1" applyFill="1" applyBorder="1" applyAlignment="1">
      <alignment horizontal="left"/>
    </xf>
    <xf numFmtId="0" fontId="4" fillId="4" borderId="1" xfId="0" applyNumberFormat="1" applyFont="1" applyFill="1" applyBorder="1" applyAlignment="1">
      <alignment horizontal="left" vertical="center"/>
    </xf>
    <xf numFmtId="0" fontId="4" fillId="4" borderId="1" xfId="0" applyNumberFormat="1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wrapText="1"/>
    </xf>
    <xf numFmtId="0" fontId="12" fillId="0" borderId="1" xfId="0" applyFont="1" applyBorder="1"/>
    <xf numFmtId="43" fontId="12" fillId="0" borderId="1" xfId="1" applyFont="1" applyBorder="1"/>
    <xf numFmtId="0" fontId="13" fillId="0" borderId="1" xfId="0" applyFont="1" applyBorder="1"/>
    <xf numFmtId="0" fontId="12" fillId="4" borderId="1" xfId="0" applyNumberFormat="1" applyFont="1" applyFill="1" applyBorder="1" applyAlignment="1">
      <alignment horizontal="center"/>
    </xf>
    <xf numFmtId="0" fontId="14" fillId="5" borderId="1" xfId="0" applyFont="1" applyFill="1" applyBorder="1"/>
    <xf numFmtId="0" fontId="15" fillId="5" borderId="1" xfId="0" applyFont="1" applyFill="1" applyBorder="1" applyAlignment="1">
      <alignment vertical="center" wrapText="1"/>
    </xf>
    <xf numFmtId="0" fontId="12" fillId="4" borderId="1" xfId="0" applyNumberFormat="1" applyFont="1" applyFill="1" applyBorder="1" applyAlignment="1">
      <alignment horizontal="center" vertical="center"/>
    </xf>
    <xf numFmtId="0" fontId="12" fillId="4" borderId="1" xfId="0" applyNumberFormat="1" applyFont="1" applyFill="1" applyBorder="1" applyAlignment="1">
      <alignment horizontal="center" vertical="top"/>
    </xf>
    <xf numFmtId="0" fontId="12" fillId="4" borderId="1" xfId="0" applyNumberFormat="1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wrapText="1"/>
    </xf>
    <xf numFmtId="0" fontId="12" fillId="0" borderId="1" xfId="0" applyFont="1" applyBorder="1" applyAlignment="1">
      <alignment horizontal="right"/>
    </xf>
    <xf numFmtId="0" fontId="12" fillId="0" borderId="1" xfId="0" applyFont="1" applyBorder="1" applyAlignment="1">
      <alignment wrapText="1"/>
    </xf>
    <xf numFmtId="0" fontId="17" fillId="7" borderId="1" xfId="0" applyFont="1" applyFill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7" borderId="1" xfId="5" applyNumberFormat="1" applyFont="1" applyFill="1" applyBorder="1" applyAlignment="1">
      <alignment horizontal="left" vertical="center" wrapText="1"/>
    </xf>
    <xf numFmtId="0" fontId="12" fillId="4" borderId="1" xfId="0" applyNumberFormat="1" applyFont="1" applyFill="1" applyBorder="1" applyAlignment="1">
      <alignment horizontal="center"/>
    </xf>
    <xf numFmtId="0" fontId="12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3" fillId="0" borderId="1" xfId="4" applyFont="1" applyBorder="1"/>
    <xf numFmtId="0" fontId="13" fillId="0" borderId="1" xfId="4" applyFont="1" applyBorder="1" applyAlignment="1">
      <alignment wrapText="1"/>
    </xf>
    <xf numFmtId="0" fontId="13" fillId="0" borderId="1" xfId="1" applyNumberFormat="1" applyFont="1" applyBorder="1"/>
    <xf numFmtId="43" fontId="13" fillId="0" borderId="1" xfId="1" applyFont="1" applyBorder="1"/>
    <xf numFmtId="43" fontId="20" fillId="0" borderId="1" xfId="1" applyFont="1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5" fillId="6" borderId="1" xfId="0" applyNumberFormat="1" applyFont="1" applyFill="1" applyBorder="1" applyAlignment="1">
      <alignment horizontal="center"/>
    </xf>
    <xf numFmtId="0" fontId="12" fillId="4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2" fillId="4" borderId="1" xfId="0" applyNumberFormat="1" applyFont="1" applyFill="1" applyBorder="1" applyAlignment="1">
      <alignment horizontal="center" wrapText="1"/>
    </xf>
    <xf numFmtId="0" fontId="12" fillId="4" borderId="1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NumberFormat="1" applyFont="1" applyFill="1" applyBorder="1" applyAlignment="1">
      <alignment horizontal="center"/>
    </xf>
    <xf numFmtId="0" fontId="4" fillId="4" borderId="1" xfId="0" applyNumberFormat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4" borderId="1" xfId="0" applyNumberFormat="1" applyFont="1" applyFill="1" applyBorder="1" applyAlignment="1">
      <alignment horizontal="center" wrapText="1"/>
    </xf>
    <xf numFmtId="0" fontId="4" fillId="4" borderId="1" xfId="0" applyNumberFormat="1" applyFont="1" applyFill="1" applyBorder="1" applyAlignment="1">
      <alignment horizontal="left"/>
    </xf>
    <xf numFmtId="0" fontId="7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4" borderId="3" xfId="0" applyNumberFormat="1" applyFont="1" applyFill="1" applyBorder="1" applyAlignment="1">
      <alignment horizontal="center" wrapText="1"/>
    </xf>
    <xf numFmtId="0" fontId="4" fillId="4" borderId="5" xfId="0" applyNumberFormat="1" applyFont="1" applyFill="1" applyBorder="1" applyAlignment="1">
      <alignment horizontal="center" wrapText="1"/>
    </xf>
    <xf numFmtId="0" fontId="4" fillId="4" borderId="6" xfId="0" applyNumberFormat="1" applyFont="1" applyFill="1" applyBorder="1" applyAlignment="1">
      <alignment horizontal="center" wrapText="1"/>
    </xf>
    <xf numFmtId="0" fontId="4" fillId="4" borderId="3" xfId="0" applyNumberFormat="1" applyFont="1" applyFill="1" applyBorder="1" applyAlignment="1">
      <alignment horizontal="center"/>
    </xf>
    <xf numFmtId="0" fontId="4" fillId="4" borderId="5" xfId="0" applyNumberFormat="1" applyFont="1" applyFill="1" applyBorder="1" applyAlignment="1">
      <alignment horizontal="center"/>
    </xf>
    <xf numFmtId="0" fontId="4" fillId="4" borderId="6" xfId="0" applyNumberFormat="1" applyFont="1" applyFill="1" applyBorder="1" applyAlignment="1">
      <alignment horizontal="center"/>
    </xf>
    <xf numFmtId="0" fontId="4" fillId="4" borderId="3" xfId="0" applyNumberFormat="1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/>
    </xf>
    <xf numFmtId="0" fontId="12" fillId="0" borderId="1" xfId="6" applyFont="1" applyBorder="1"/>
    <xf numFmtId="0" fontId="12" fillId="0" borderId="1" xfId="6" applyFont="1" applyBorder="1" applyAlignment="1">
      <alignment wrapText="1"/>
    </xf>
    <xf numFmtId="0" fontId="12" fillId="0" borderId="1" xfId="6" applyFont="1" applyBorder="1" applyAlignment="1">
      <alignment horizontal="center" vertical="center" wrapText="1"/>
    </xf>
    <xf numFmtId="0" fontId="12" fillId="0" borderId="1" xfId="6" applyFont="1" applyBorder="1" applyAlignment="1">
      <alignment horizontal="center" vertical="center"/>
    </xf>
    <xf numFmtId="0" fontId="12" fillId="0" borderId="1" xfId="6" applyFont="1" applyBorder="1" applyAlignment="1">
      <alignment horizontal="center"/>
    </xf>
    <xf numFmtId="0" fontId="12" fillId="7" borderId="1" xfId="0" applyFont="1" applyFill="1" applyBorder="1"/>
    <xf numFmtId="0" fontId="12" fillId="7" borderId="1" xfId="3" applyFont="1" applyFill="1" applyBorder="1"/>
    <xf numFmtId="0" fontId="12" fillId="7" borderId="1" xfId="3" applyFont="1" applyFill="1" applyBorder="1" applyAlignment="1">
      <alignment horizontal="center"/>
    </xf>
    <xf numFmtId="43" fontId="12" fillId="7" borderId="1" xfId="1" applyFont="1" applyFill="1" applyBorder="1"/>
    <xf numFmtId="14" fontId="12" fillId="7" borderId="1" xfId="3" applyNumberFormat="1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1" fillId="7" borderId="1" xfId="3" applyFont="1" applyFill="1" applyBorder="1"/>
    <xf numFmtId="0" fontId="11" fillId="7" borderId="1" xfId="3" applyFont="1" applyFill="1" applyBorder="1" applyAlignment="1">
      <alignment horizontal="center"/>
    </xf>
    <xf numFmtId="0" fontId="11" fillId="7" borderId="1" xfId="0" applyFont="1" applyFill="1" applyBorder="1"/>
    <xf numFmtId="43" fontId="11" fillId="7" borderId="1" xfId="1" applyFont="1" applyFill="1" applyBorder="1"/>
    <xf numFmtId="14" fontId="11" fillId="7" borderId="1" xfId="3" applyNumberFormat="1" applyFont="1" applyFill="1" applyBorder="1" applyAlignment="1">
      <alignment horizontal="center"/>
    </xf>
    <xf numFmtId="0" fontId="12" fillId="7" borderId="1" xfId="3" applyFont="1" applyFill="1" applyBorder="1" applyAlignment="1">
      <alignment wrapText="1"/>
    </xf>
    <xf numFmtId="14" fontId="17" fillId="7" borderId="1" xfId="3" applyNumberFormat="1" applyFont="1" applyFill="1" applyBorder="1" applyAlignment="1">
      <alignment horizontal="center"/>
    </xf>
    <xf numFmtId="0" fontId="12" fillId="7" borderId="1" xfId="3" applyFont="1" applyFill="1" applyBorder="1" applyAlignment="1"/>
    <xf numFmtId="0" fontId="12" fillId="7" borderId="1" xfId="3" applyFont="1" applyFill="1" applyBorder="1" applyAlignment="1">
      <alignment horizontal="center" wrapText="1"/>
    </xf>
    <xf numFmtId="0" fontId="11" fillId="7" borderId="7" xfId="0" applyFont="1" applyFill="1" applyBorder="1" applyAlignment="1">
      <alignment horizontal="center" vertical="center"/>
    </xf>
    <xf numFmtId="0" fontId="15" fillId="6" borderId="3" xfId="0" applyNumberFormat="1" applyFont="1" applyFill="1" applyBorder="1" applyAlignment="1">
      <alignment horizontal="center"/>
    </xf>
    <xf numFmtId="0" fontId="15" fillId="6" borderId="5" xfId="0" applyNumberFormat="1" applyFont="1" applyFill="1" applyBorder="1" applyAlignment="1">
      <alignment horizontal="center"/>
    </xf>
    <xf numFmtId="0" fontId="15" fillId="6" borderId="6" xfId="0" applyNumberFormat="1" applyFont="1" applyFill="1" applyBorder="1" applyAlignment="1">
      <alignment horizontal="center"/>
    </xf>
    <xf numFmtId="0" fontId="15" fillId="6" borderId="3" xfId="0" applyNumberFormat="1" applyFont="1" applyFill="1" applyBorder="1" applyAlignment="1">
      <alignment horizontal="center"/>
    </xf>
    <xf numFmtId="0" fontId="15" fillId="6" borderId="2" xfId="0" applyNumberFormat="1" applyFont="1" applyFill="1" applyBorder="1" applyAlignment="1">
      <alignment horizontal="center"/>
    </xf>
    <xf numFmtId="0" fontId="15" fillId="6" borderId="7" xfId="0" applyNumberFormat="1" applyFont="1" applyFill="1" applyBorder="1" applyAlignment="1">
      <alignment horizontal="center"/>
    </xf>
    <xf numFmtId="0" fontId="15" fillId="6" borderId="3" xfId="0" applyNumberFormat="1" applyFont="1" applyFill="1" applyBorder="1" applyAlignment="1">
      <alignment horizontal="center" wrapText="1"/>
    </xf>
    <xf numFmtId="0" fontId="15" fillId="6" borderId="4" xfId="0" applyNumberFormat="1" applyFont="1" applyFill="1" applyBorder="1" applyAlignment="1">
      <alignment horizontal="center"/>
    </xf>
    <xf numFmtId="0" fontId="15" fillId="6" borderId="2" xfId="0" applyNumberFormat="1" applyFont="1" applyFill="1" applyBorder="1" applyAlignment="1">
      <alignment horizontal="center" wrapText="1"/>
    </xf>
    <xf numFmtId="0" fontId="15" fillId="6" borderId="7" xfId="0" applyNumberFormat="1" applyFont="1" applyFill="1" applyBorder="1" applyAlignment="1">
      <alignment horizontal="center" wrapText="1"/>
    </xf>
    <xf numFmtId="0" fontId="15" fillId="6" borderId="4" xfId="0" applyNumberFormat="1" applyFont="1" applyFill="1" applyBorder="1" applyAlignment="1">
      <alignment horizontal="center" wrapText="1"/>
    </xf>
    <xf numFmtId="0" fontId="15" fillId="6" borderId="8" xfId="0" applyNumberFormat="1" applyFont="1" applyFill="1" applyBorder="1" applyAlignment="1">
      <alignment horizontal="center" wrapText="1"/>
    </xf>
    <xf numFmtId="0" fontId="15" fillId="6" borderId="9" xfId="0" applyNumberFormat="1" applyFont="1" applyFill="1" applyBorder="1" applyAlignment="1">
      <alignment horizontal="center" wrapText="1"/>
    </xf>
    <xf numFmtId="0" fontId="15" fillId="6" borderId="10" xfId="0" applyNumberFormat="1" applyFont="1" applyFill="1" applyBorder="1" applyAlignment="1">
      <alignment horizontal="center" wrapText="1"/>
    </xf>
    <xf numFmtId="0" fontId="17" fillId="7" borderId="2" xfId="3" applyFont="1" applyFill="1" applyBorder="1" applyAlignment="1"/>
    <xf numFmtId="0" fontId="17" fillId="7" borderId="2" xfId="3" applyFont="1" applyFill="1" applyBorder="1" applyAlignment="1">
      <alignment horizontal="center"/>
    </xf>
    <xf numFmtId="0" fontId="12" fillId="7" borderId="2" xfId="0" applyFont="1" applyFill="1" applyBorder="1"/>
    <xf numFmtId="43" fontId="12" fillId="7" borderId="2" xfId="1" applyFont="1" applyFill="1" applyBorder="1"/>
    <xf numFmtId="14" fontId="17" fillId="7" borderId="2" xfId="3" applyNumberFormat="1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</cellXfs>
  <cellStyles count="7">
    <cellStyle name="Comma" xfId="1" builtinId="3"/>
    <cellStyle name="Neutral" xfId="2" builtinId="28"/>
    <cellStyle name="Normal" xfId="0" builtinId="0"/>
    <cellStyle name="Normal 18" xfId="5"/>
    <cellStyle name="Normal 3" xfId="3"/>
    <cellStyle name="Normal 4" xfId="4"/>
    <cellStyle name="Normal 5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756"/>
  <sheetViews>
    <sheetView topLeftCell="A97" zoomScale="80" zoomScaleNormal="80" workbookViewId="0">
      <selection activeCell="A123" sqref="A123:J124"/>
    </sheetView>
  </sheetViews>
  <sheetFormatPr defaultRowHeight="15" x14ac:dyDescent="0.25"/>
  <cols>
    <col min="1" max="1" width="4.5703125" bestFit="1" customWidth="1"/>
    <col min="2" max="2" width="33.28515625" style="44" customWidth="1"/>
    <col min="3" max="3" width="16.42578125" customWidth="1"/>
    <col min="4" max="4" width="10.5703125" bestFit="1" customWidth="1"/>
    <col min="9" max="9" width="9.5703125" style="71" bestFit="1" customWidth="1"/>
    <col min="10" max="10" width="13.28515625" customWidth="1"/>
    <col min="11" max="11" width="14.28515625" bestFit="1" customWidth="1"/>
    <col min="13" max="13" width="13.42578125" bestFit="1" customWidth="1"/>
    <col min="14" max="14" width="9.7109375" bestFit="1" customWidth="1"/>
    <col min="18" max="18" width="21.140625" customWidth="1"/>
  </cols>
  <sheetData>
    <row r="2" spans="1:18" x14ac:dyDescent="0.25">
      <c r="A2" s="132" t="s">
        <v>0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7" t="s">
        <v>1</v>
      </c>
      <c r="M2" s="1"/>
      <c r="N2" s="1"/>
      <c r="O2" s="1"/>
      <c r="P2" s="1"/>
      <c r="Q2" s="134" t="s">
        <v>2</v>
      </c>
      <c r="R2" s="139" t="s">
        <v>3</v>
      </c>
    </row>
    <row r="3" spans="1:18" x14ac:dyDescent="0.25">
      <c r="A3" s="135" t="s">
        <v>4</v>
      </c>
      <c r="B3" s="135"/>
      <c r="C3" s="135"/>
      <c r="D3" s="135"/>
      <c r="E3" s="135"/>
      <c r="F3" s="135"/>
      <c r="G3" s="135"/>
      <c r="H3" s="135"/>
      <c r="I3" s="135"/>
      <c r="J3" s="2" t="s">
        <v>5</v>
      </c>
      <c r="K3" s="152" t="s">
        <v>6</v>
      </c>
      <c r="L3" s="137"/>
      <c r="M3" s="131" t="s">
        <v>7</v>
      </c>
      <c r="N3" s="3"/>
      <c r="O3" s="3"/>
      <c r="P3" s="4"/>
      <c r="Q3" s="134"/>
      <c r="R3" s="140"/>
    </row>
    <row r="4" spans="1:18" x14ac:dyDescent="0.25">
      <c r="A4" s="5"/>
      <c r="B4" s="146"/>
      <c r="C4" s="147"/>
      <c r="D4" s="147"/>
      <c r="E4" s="148"/>
      <c r="F4" s="143" t="s">
        <v>9</v>
      </c>
      <c r="G4" s="143"/>
      <c r="H4" s="143"/>
      <c r="I4" s="64"/>
      <c r="J4" s="136" t="s">
        <v>10</v>
      </c>
      <c r="K4" s="152"/>
      <c r="L4" s="137"/>
      <c r="M4" s="131"/>
      <c r="N4" s="144" t="s">
        <v>11</v>
      </c>
      <c r="O4" s="131" t="s">
        <v>12</v>
      </c>
      <c r="P4" s="131" t="s">
        <v>13</v>
      </c>
      <c r="Q4" s="134"/>
      <c r="R4" s="140"/>
    </row>
    <row r="5" spans="1:18" ht="26.25" x14ac:dyDescent="0.25">
      <c r="A5" s="5" t="s">
        <v>14</v>
      </c>
      <c r="B5" s="8" t="s">
        <v>15</v>
      </c>
      <c r="C5" s="8" t="s">
        <v>16</v>
      </c>
      <c r="D5" s="8" t="s">
        <v>17</v>
      </c>
      <c r="E5" s="9" t="s">
        <v>18</v>
      </c>
      <c r="F5" s="10" t="s">
        <v>19</v>
      </c>
      <c r="G5" s="11" t="s">
        <v>20</v>
      </c>
      <c r="H5" s="12" t="s">
        <v>21</v>
      </c>
      <c r="I5" s="65" t="s">
        <v>22</v>
      </c>
      <c r="J5" s="136"/>
      <c r="K5" s="152"/>
      <c r="L5" s="137"/>
      <c r="M5" s="131"/>
      <c r="N5" s="144"/>
      <c r="O5" s="131"/>
      <c r="P5" s="131"/>
      <c r="Q5" s="134"/>
      <c r="R5" s="141"/>
    </row>
    <row r="6" spans="1:18" x14ac:dyDescent="0.25">
      <c r="A6" s="13">
        <v>1</v>
      </c>
      <c r="B6" s="14" t="s">
        <v>23</v>
      </c>
      <c r="C6" s="13" t="s">
        <v>24</v>
      </c>
      <c r="D6" s="13" t="s">
        <v>25</v>
      </c>
      <c r="E6" s="13" t="s">
        <v>26</v>
      </c>
      <c r="F6" s="13"/>
      <c r="G6" s="13"/>
      <c r="H6" s="13">
        <v>153</v>
      </c>
      <c r="I6" s="66">
        <f t="shared" ref="I6:I37" si="0">SUM(F6:H6)</f>
        <v>153</v>
      </c>
      <c r="J6" s="15">
        <f t="shared" ref="J6:J37" si="1">O6*Q6</f>
        <v>3035.9615040000003</v>
      </c>
      <c r="K6" s="15">
        <f t="shared" ref="K6:K37" si="2">J6*I6</f>
        <v>464502.11011200002</v>
      </c>
      <c r="L6" s="13">
        <v>52004</v>
      </c>
      <c r="M6" s="102" t="s">
        <v>703</v>
      </c>
      <c r="N6" s="13">
        <v>17.2</v>
      </c>
      <c r="O6" s="13">
        <v>19.260000000000002</v>
      </c>
      <c r="P6" s="13">
        <v>15.85</v>
      </c>
      <c r="Q6" s="13">
        <v>157.63040000000001</v>
      </c>
      <c r="R6" s="13"/>
    </row>
    <row r="7" spans="1:18" x14ac:dyDescent="0.25">
      <c r="A7" s="13">
        <v>2</v>
      </c>
      <c r="B7" s="14" t="s">
        <v>27</v>
      </c>
      <c r="C7" s="13" t="s">
        <v>24</v>
      </c>
      <c r="D7" s="13" t="s">
        <v>25</v>
      </c>
      <c r="E7" s="13" t="s">
        <v>26</v>
      </c>
      <c r="F7" s="13"/>
      <c r="G7" s="13"/>
      <c r="H7" s="13">
        <v>3</v>
      </c>
      <c r="I7" s="66">
        <f t="shared" si="0"/>
        <v>3</v>
      </c>
      <c r="J7" s="15">
        <f t="shared" si="1"/>
        <v>4095.2377920000004</v>
      </c>
      <c r="K7" s="15">
        <f t="shared" si="2"/>
        <v>12285.713376000002</v>
      </c>
      <c r="L7" s="13">
        <v>52004</v>
      </c>
      <c r="M7" s="103"/>
      <c r="N7" s="13">
        <v>23.2</v>
      </c>
      <c r="O7" s="13">
        <v>25.98</v>
      </c>
      <c r="P7" s="13">
        <v>21.38</v>
      </c>
      <c r="Q7" s="13">
        <v>157.63040000000001</v>
      </c>
      <c r="R7" s="13"/>
    </row>
    <row r="8" spans="1:18" x14ac:dyDescent="0.25">
      <c r="A8" s="13">
        <v>3</v>
      </c>
      <c r="B8" s="14" t="s">
        <v>23</v>
      </c>
      <c r="C8" s="13" t="s">
        <v>28</v>
      </c>
      <c r="D8" s="13" t="s">
        <v>25</v>
      </c>
      <c r="E8" s="13" t="s">
        <v>26</v>
      </c>
      <c r="F8" s="13"/>
      <c r="G8" s="13"/>
      <c r="H8" s="13">
        <v>27</v>
      </c>
      <c r="I8" s="66">
        <f t="shared" si="0"/>
        <v>27</v>
      </c>
      <c r="J8" s="15">
        <f t="shared" si="1"/>
        <v>3035.9615040000003</v>
      </c>
      <c r="K8" s="15">
        <f t="shared" si="2"/>
        <v>81970.960608000009</v>
      </c>
      <c r="L8" s="13">
        <v>52004</v>
      </c>
      <c r="M8" s="103"/>
      <c r="N8" s="13">
        <v>17.2</v>
      </c>
      <c r="O8" s="13">
        <v>19.260000000000002</v>
      </c>
      <c r="P8" s="13">
        <v>15.85</v>
      </c>
      <c r="Q8" s="13">
        <v>157.63040000000001</v>
      </c>
      <c r="R8" s="13"/>
    </row>
    <row r="9" spans="1:18" x14ac:dyDescent="0.25">
      <c r="A9" s="13">
        <v>4</v>
      </c>
      <c r="B9" s="14" t="s">
        <v>29</v>
      </c>
      <c r="C9" s="13" t="s">
        <v>30</v>
      </c>
      <c r="D9" s="13" t="s">
        <v>31</v>
      </c>
      <c r="E9" s="13" t="s">
        <v>26</v>
      </c>
      <c r="F9" s="13"/>
      <c r="G9" s="13"/>
      <c r="H9" s="13">
        <v>19</v>
      </c>
      <c r="I9" s="66">
        <f t="shared" si="0"/>
        <v>19</v>
      </c>
      <c r="J9" s="15">
        <f t="shared" si="1"/>
        <v>762.93113600000004</v>
      </c>
      <c r="K9" s="15">
        <f t="shared" si="2"/>
        <v>14495.691584</v>
      </c>
      <c r="L9" s="13">
        <v>52004</v>
      </c>
      <c r="M9" s="103"/>
      <c r="N9" s="13">
        <v>4.33</v>
      </c>
      <c r="O9" s="13">
        <v>4.84</v>
      </c>
      <c r="P9" s="13">
        <v>3.98</v>
      </c>
      <c r="Q9" s="13">
        <v>157.63040000000001</v>
      </c>
      <c r="R9" s="13"/>
    </row>
    <row r="10" spans="1:18" x14ac:dyDescent="0.25">
      <c r="A10" s="13">
        <v>5</v>
      </c>
      <c r="B10" s="14" t="s">
        <v>29</v>
      </c>
      <c r="C10" s="13" t="s">
        <v>32</v>
      </c>
      <c r="D10" s="13" t="s">
        <v>31</v>
      </c>
      <c r="E10" s="13" t="s">
        <v>26</v>
      </c>
      <c r="F10" s="13"/>
      <c r="G10" s="13"/>
      <c r="H10" s="13">
        <v>11</v>
      </c>
      <c r="I10" s="66">
        <f t="shared" si="0"/>
        <v>11</v>
      </c>
      <c r="J10" s="15">
        <f t="shared" si="1"/>
        <v>762.93113600000004</v>
      </c>
      <c r="K10" s="15">
        <f t="shared" si="2"/>
        <v>8392.2424960000008</v>
      </c>
      <c r="L10" s="13">
        <v>52004</v>
      </c>
      <c r="M10" s="103"/>
      <c r="N10" s="13">
        <v>4.33</v>
      </c>
      <c r="O10" s="13">
        <v>4.84</v>
      </c>
      <c r="P10" s="13">
        <v>3.98</v>
      </c>
      <c r="Q10" s="13">
        <v>157.63040000000001</v>
      </c>
      <c r="R10" s="13"/>
    </row>
    <row r="11" spans="1:18" x14ac:dyDescent="0.25">
      <c r="A11" s="13">
        <v>6</v>
      </c>
      <c r="B11" s="14" t="s">
        <v>29</v>
      </c>
      <c r="C11" s="13" t="s">
        <v>33</v>
      </c>
      <c r="D11" s="13" t="s">
        <v>34</v>
      </c>
      <c r="E11" s="13" t="s">
        <v>26</v>
      </c>
      <c r="F11" s="13"/>
      <c r="G11" s="13"/>
      <c r="H11" s="13">
        <v>8</v>
      </c>
      <c r="I11" s="66">
        <f t="shared" si="0"/>
        <v>8</v>
      </c>
      <c r="J11" s="15">
        <f t="shared" si="1"/>
        <v>762.93113600000004</v>
      </c>
      <c r="K11" s="15">
        <f t="shared" si="2"/>
        <v>6103.4490880000003</v>
      </c>
      <c r="L11" s="13">
        <v>52005</v>
      </c>
      <c r="M11" s="103"/>
      <c r="N11" s="13">
        <v>4.33</v>
      </c>
      <c r="O11" s="13">
        <v>4.84</v>
      </c>
      <c r="P11" s="13">
        <v>3.98</v>
      </c>
      <c r="Q11" s="13">
        <v>157.63040000000001</v>
      </c>
      <c r="R11" s="13"/>
    </row>
    <row r="12" spans="1:18" x14ac:dyDescent="0.25">
      <c r="A12" s="13">
        <v>7</v>
      </c>
      <c r="B12" s="14" t="s">
        <v>29</v>
      </c>
      <c r="C12" s="13" t="s">
        <v>35</v>
      </c>
      <c r="D12" s="13" t="s">
        <v>36</v>
      </c>
      <c r="E12" s="13" t="s">
        <v>26</v>
      </c>
      <c r="F12" s="13"/>
      <c r="G12" s="13"/>
      <c r="H12" s="13">
        <v>8</v>
      </c>
      <c r="I12" s="66">
        <f t="shared" si="0"/>
        <v>8</v>
      </c>
      <c r="J12" s="15">
        <f t="shared" si="1"/>
        <v>762.93113600000004</v>
      </c>
      <c r="K12" s="15">
        <f t="shared" si="2"/>
        <v>6103.4490880000003</v>
      </c>
      <c r="L12" s="13">
        <v>52005</v>
      </c>
      <c r="M12" s="103"/>
      <c r="N12" s="13">
        <v>4.33</v>
      </c>
      <c r="O12" s="13">
        <v>4.84</v>
      </c>
      <c r="P12" s="13">
        <v>3.98</v>
      </c>
      <c r="Q12" s="13">
        <v>157.63040000000001</v>
      </c>
      <c r="R12" s="13"/>
    </row>
    <row r="13" spans="1:18" x14ac:dyDescent="0.25">
      <c r="A13" s="13">
        <v>8</v>
      </c>
      <c r="B13" s="14" t="s">
        <v>29</v>
      </c>
      <c r="C13" s="13" t="s">
        <v>36</v>
      </c>
      <c r="D13" s="13" t="s">
        <v>36</v>
      </c>
      <c r="E13" s="13" t="s">
        <v>26</v>
      </c>
      <c r="F13" s="13"/>
      <c r="G13" s="13"/>
      <c r="H13" s="13">
        <v>33</v>
      </c>
      <c r="I13" s="66">
        <f t="shared" si="0"/>
        <v>33</v>
      </c>
      <c r="J13" s="15">
        <f t="shared" si="1"/>
        <v>762.93113600000004</v>
      </c>
      <c r="K13" s="15">
        <f t="shared" si="2"/>
        <v>25176.727488</v>
      </c>
      <c r="L13" s="13">
        <v>52005</v>
      </c>
      <c r="M13" s="103"/>
      <c r="N13" s="13">
        <v>4.33</v>
      </c>
      <c r="O13" s="13">
        <v>4.84</v>
      </c>
      <c r="P13" s="13">
        <v>3.98</v>
      </c>
      <c r="Q13" s="13">
        <v>157.63040000000001</v>
      </c>
      <c r="R13" s="13"/>
    </row>
    <row r="14" spans="1:18" x14ac:dyDescent="0.25">
      <c r="A14" s="13">
        <v>9</v>
      </c>
      <c r="B14" s="14" t="s">
        <v>29</v>
      </c>
      <c r="C14" s="16" t="s">
        <v>37</v>
      </c>
      <c r="D14" s="13" t="s">
        <v>36</v>
      </c>
      <c r="E14" s="13" t="s">
        <v>26</v>
      </c>
      <c r="F14" s="13"/>
      <c r="G14" s="13"/>
      <c r="H14" s="13">
        <v>2</v>
      </c>
      <c r="I14" s="66">
        <f t="shared" si="0"/>
        <v>2</v>
      </c>
      <c r="J14" s="15">
        <f t="shared" si="1"/>
        <v>762.93113600000004</v>
      </c>
      <c r="K14" s="15">
        <f t="shared" si="2"/>
        <v>1525.8622720000001</v>
      </c>
      <c r="L14" s="13">
        <v>52005</v>
      </c>
      <c r="M14" s="103"/>
      <c r="N14" s="13">
        <v>4.33</v>
      </c>
      <c r="O14" s="13">
        <v>4.84</v>
      </c>
      <c r="P14" s="13">
        <v>3.98</v>
      </c>
      <c r="Q14" s="13">
        <v>157.63040000000001</v>
      </c>
      <c r="R14" s="13"/>
    </row>
    <row r="15" spans="1:18" x14ac:dyDescent="0.25">
      <c r="A15" s="13">
        <v>10</v>
      </c>
      <c r="B15" s="14" t="s">
        <v>29</v>
      </c>
      <c r="C15" s="13" t="s">
        <v>38</v>
      </c>
      <c r="D15" s="13" t="s">
        <v>31</v>
      </c>
      <c r="E15" s="13" t="s">
        <v>26</v>
      </c>
      <c r="F15" s="13"/>
      <c r="G15" s="13"/>
      <c r="H15" s="13">
        <v>13</v>
      </c>
      <c r="I15" s="66">
        <f t="shared" si="0"/>
        <v>13</v>
      </c>
      <c r="J15" s="15">
        <f t="shared" si="1"/>
        <v>762.93113600000004</v>
      </c>
      <c r="K15" s="15">
        <f t="shared" si="2"/>
        <v>9918.1047680000011</v>
      </c>
      <c r="L15" s="13">
        <v>52005</v>
      </c>
      <c r="M15" s="103"/>
      <c r="N15" s="13">
        <v>4.33</v>
      </c>
      <c r="O15" s="13">
        <v>4.84</v>
      </c>
      <c r="P15" s="13">
        <v>3.98</v>
      </c>
      <c r="Q15" s="13">
        <v>157.63040000000001</v>
      </c>
      <c r="R15" s="13"/>
    </row>
    <row r="16" spans="1:18" x14ac:dyDescent="0.25">
      <c r="A16" s="13">
        <v>11</v>
      </c>
      <c r="B16" s="14" t="s">
        <v>29</v>
      </c>
      <c r="C16" s="13" t="s">
        <v>39</v>
      </c>
      <c r="D16" s="13" t="s">
        <v>36</v>
      </c>
      <c r="E16" s="13" t="s">
        <v>26</v>
      </c>
      <c r="F16" s="13"/>
      <c r="G16" s="13"/>
      <c r="H16" s="13">
        <v>5</v>
      </c>
      <c r="I16" s="66">
        <f t="shared" si="0"/>
        <v>5</v>
      </c>
      <c r="J16" s="15">
        <f t="shared" si="1"/>
        <v>762.93113600000004</v>
      </c>
      <c r="K16" s="15">
        <f t="shared" si="2"/>
        <v>3814.6556800000003</v>
      </c>
      <c r="L16" s="13">
        <v>52005</v>
      </c>
      <c r="M16" s="103"/>
      <c r="N16" s="13">
        <v>4.33</v>
      </c>
      <c r="O16" s="13">
        <v>4.84</v>
      </c>
      <c r="P16" s="13">
        <v>3.98</v>
      </c>
      <c r="Q16" s="13">
        <v>157.63040000000001</v>
      </c>
      <c r="R16" s="13"/>
    </row>
    <row r="17" spans="1:18" x14ac:dyDescent="0.25">
      <c r="A17" s="13">
        <v>12</v>
      </c>
      <c r="B17" s="14" t="s">
        <v>29</v>
      </c>
      <c r="C17" s="13" t="s">
        <v>36</v>
      </c>
      <c r="D17" s="13" t="s">
        <v>31</v>
      </c>
      <c r="E17" s="13" t="s">
        <v>26</v>
      </c>
      <c r="F17" s="13"/>
      <c r="G17" s="13"/>
      <c r="H17" s="13">
        <v>7</v>
      </c>
      <c r="I17" s="66">
        <f t="shared" si="0"/>
        <v>7</v>
      </c>
      <c r="J17" s="15">
        <f t="shared" si="1"/>
        <v>762.93113600000004</v>
      </c>
      <c r="K17" s="15">
        <f t="shared" si="2"/>
        <v>5340.5179520000002</v>
      </c>
      <c r="L17" s="13">
        <v>52005</v>
      </c>
      <c r="M17" s="103"/>
      <c r="N17" s="13">
        <v>4.33</v>
      </c>
      <c r="O17" s="13">
        <v>4.84</v>
      </c>
      <c r="P17" s="13">
        <v>3.98</v>
      </c>
      <c r="Q17" s="13">
        <v>157.63040000000001</v>
      </c>
      <c r="R17" s="13"/>
    </row>
    <row r="18" spans="1:18" x14ac:dyDescent="0.25">
      <c r="A18" s="13">
        <v>13</v>
      </c>
      <c r="B18" s="14" t="s">
        <v>29</v>
      </c>
      <c r="C18" s="13" t="s">
        <v>40</v>
      </c>
      <c r="D18" s="13" t="s">
        <v>36</v>
      </c>
      <c r="E18" s="13" t="s">
        <v>26</v>
      </c>
      <c r="F18" s="13"/>
      <c r="G18" s="13"/>
      <c r="H18" s="13">
        <v>3</v>
      </c>
      <c r="I18" s="66">
        <f t="shared" si="0"/>
        <v>3</v>
      </c>
      <c r="J18" s="15">
        <f t="shared" si="1"/>
        <v>762.93113600000004</v>
      </c>
      <c r="K18" s="15">
        <f t="shared" si="2"/>
        <v>2288.793408</v>
      </c>
      <c r="L18" s="13">
        <v>52005</v>
      </c>
      <c r="M18" s="103"/>
      <c r="N18" s="13">
        <v>4.33</v>
      </c>
      <c r="O18" s="13">
        <v>4.84</v>
      </c>
      <c r="P18" s="13">
        <v>3.98</v>
      </c>
      <c r="Q18" s="13">
        <v>157.63040000000001</v>
      </c>
      <c r="R18" s="13"/>
    </row>
    <row r="19" spans="1:18" x14ac:dyDescent="0.25">
      <c r="A19" s="13">
        <v>14</v>
      </c>
      <c r="B19" s="14" t="s">
        <v>29</v>
      </c>
      <c r="C19" s="13" t="s">
        <v>41</v>
      </c>
      <c r="D19" s="13" t="s">
        <v>31</v>
      </c>
      <c r="E19" s="13" t="s">
        <v>26</v>
      </c>
      <c r="F19" s="13"/>
      <c r="G19" s="13"/>
      <c r="H19" s="13">
        <v>1</v>
      </c>
      <c r="I19" s="66">
        <f t="shared" si="0"/>
        <v>1</v>
      </c>
      <c r="J19" s="15">
        <f t="shared" si="1"/>
        <v>762.93113600000004</v>
      </c>
      <c r="K19" s="15">
        <f t="shared" si="2"/>
        <v>762.93113600000004</v>
      </c>
      <c r="L19" s="13">
        <v>52005</v>
      </c>
      <c r="M19" s="103"/>
      <c r="N19" s="13">
        <v>4.33</v>
      </c>
      <c r="O19" s="13">
        <v>4.84</v>
      </c>
      <c r="P19" s="13">
        <v>3.98</v>
      </c>
      <c r="Q19" s="13">
        <v>157.63040000000001</v>
      </c>
      <c r="R19" s="13"/>
    </row>
    <row r="20" spans="1:18" x14ac:dyDescent="0.25">
      <c r="A20" s="13">
        <v>15</v>
      </c>
      <c r="B20" s="14" t="s">
        <v>29</v>
      </c>
      <c r="C20" s="13" t="s">
        <v>42</v>
      </c>
      <c r="D20" s="13" t="s">
        <v>31</v>
      </c>
      <c r="E20" s="13" t="s">
        <v>26</v>
      </c>
      <c r="F20" s="13"/>
      <c r="G20" s="13"/>
      <c r="H20" s="13">
        <v>20</v>
      </c>
      <c r="I20" s="66">
        <f t="shared" si="0"/>
        <v>20</v>
      </c>
      <c r="J20" s="15">
        <f t="shared" si="1"/>
        <v>762.93113600000004</v>
      </c>
      <c r="K20" s="15">
        <f t="shared" si="2"/>
        <v>15258.622720000001</v>
      </c>
      <c r="L20" s="13">
        <v>52005</v>
      </c>
      <c r="M20" s="103"/>
      <c r="N20" s="13">
        <v>4.33</v>
      </c>
      <c r="O20" s="13">
        <v>4.84</v>
      </c>
      <c r="P20" s="13">
        <v>3.98</v>
      </c>
      <c r="Q20" s="13">
        <v>157.63040000000001</v>
      </c>
      <c r="R20" s="13"/>
    </row>
    <row r="21" spans="1:18" x14ac:dyDescent="0.25">
      <c r="A21" s="13">
        <v>16</v>
      </c>
      <c r="B21" s="14" t="s">
        <v>29</v>
      </c>
      <c r="C21" s="13" t="s">
        <v>43</v>
      </c>
      <c r="D21" s="13" t="s">
        <v>36</v>
      </c>
      <c r="E21" s="13" t="s">
        <v>26</v>
      </c>
      <c r="F21" s="13"/>
      <c r="G21" s="13"/>
      <c r="H21" s="13">
        <v>1</v>
      </c>
      <c r="I21" s="66">
        <f t="shared" si="0"/>
        <v>1</v>
      </c>
      <c r="J21" s="15">
        <f t="shared" si="1"/>
        <v>762.93113600000004</v>
      </c>
      <c r="K21" s="15">
        <f t="shared" si="2"/>
        <v>762.93113600000004</v>
      </c>
      <c r="L21" s="13">
        <v>52005</v>
      </c>
      <c r="M21" s="103"/>
      <c r="N21" s="13">
        <v>4.33</v>
      </c>
      <c r="O21" s="13">
        <v>4.84</v>
      </c>
      <c r="P21" s="13">
        <v>3.98</v>
      </c>
      <c r="Q21" s="13">
        <v>157.63040000000001</v>
      </c>
      <c r="R21" s="13"/>
    </row>
    <row r="22" spans="1:18" x14ac:dyDescent="0.25">
      <c r="A22" s="13">
        <v>17</v>
      </c>
      <c r="B22" s="14" t="s">
        <v>29</v>
      </c>
      <c r="C22" s="13" t="s">
        <v>42</v>
      </c>
      <c r="D22" s="13" t="s">
        <v>36</v>
      </c>
      <c r="E22" s="13" t="s">
        <v>26</v>
      </c>
      <c r="F22" s="13"/>
      <c r="G22" s="13"/>
      <c r="H22" s="13">
        <v>12</v>
      </c>
      <c r="I22" s="66">
        <f t="shared" si="0"/>
        <v>12</v>
      </c>
      <c r="J22" s="15">
        <f t="shared" si="1"/>
        <v>762.93113600000004</v>
      </c>
      <c r="K22" s="15">
        <f t="shared" si="2"/>
        <v>9155.173632</v>
      </c>
      <c r="L22" s="13">
        <v>52005</v>
      </c>
      <c r="M22" s="103"/>
      <c r="N22" s="13">
        <v>4.33</v>
      </c>
      <c r="O22" s="13">
        <v>4.84</v>
      </c>
      <c r="P22" s="13">
        <v>3.98</v>
      </c>
      <c r="Q22" s="13">
        <v>157.63040000000001</v>
      </c>
      <c r="R22" s="13"/>
    </row>
    <row r="23" spans="1:18" x14ac:dyDescent="0.25">
      <c r="A23" s="13">
        <v>18</v>
      </c>
      <c r="B23" s="14" t="s">
        <v>44</v>
      </c>
      <c r="C23" s="13" t="s">
        <v>42</v>
      </c>
      <c r="D23" s="13" t="s">
        <v>36</v>
      </c>
      <c r="E23" s="13" t="s">
        <v>26</v>
      </c>
      <c r="F23" s="13"/>
      <c r="G23" s="13"/>
      <c r="H23" s="13">
        <v>7</v>
      </c>
      <c r="I23" s="66">
        <f t="shared" si="0"/>
        <v>7</v>
      </c>
      <c r="J23" s="15">
        <f t="shared" si="1"/>
        <v>762.93113600000004</v>
      </c>
      <c r="K23" s="15">
        <f t="shared" si="2"/>
        <v>5340.5179520000002</v>
      </c>
      <c r="L23" s="13">
        <v>52005</v>
      </c>
      <c r="M23" s="103"/>
      <c r="N23" s="13">
        <v>4.33</v>
      </c>
      <c r="O23" s="13">
        <v>4.84</v>
      </c>
      <c r="P23" s="13">
        <v>3.98</v>
      </c>
      <c r="Q23" s="13">
        <v>157.63040000000001</v>
      </c>
      <c r="R23" s="13"/>
    </row>
    <row r="24" spans="1:18" x14ac:dyDescent="0.25">
      <c r="A24" s="13">
        <v>19</v>
      </c>
      <c r="B24" s="14" t="s">
        <v>44</v>
      </c>
      <c r="C24" s="13" t="s">
        <v>33</v>
      </c>
      <c r="D24" s="13" t="s">
        <v>36</v>
      </c>
      <c r="E24" s="13" t="s">
        <v>26</v>
      </c>
      <c r="F24" s="13"/>
      <c r="G24" s="13"/>
      <c r="H24" s="13">
        <v>1</v>
      </c>
      <c r="I24" s="66">
        <f t="shared" si="0"/>
        <v>1</v>
      </c>
      <c r="J24" s="15">
        <f t="shared" si="1"/>
        <v>762.93113600000004</v>
      </c>
      <c r="K24" s="15">
        <f t="shared" si="2"/>
        <v>762.93113600000004</v>
      </c>
      <c r="L24" s="13">
        <v>52006</v>
      </c>
      <c r="M24" s="103"/>
      <c r="N24" s="13">
        <v>4.33</v>
      </c>
      <c r="O24" s="13">
        <v>4.84</v>
      </c>
      <c r="P24" s="13">
        <v>3.98</v>
      </c>
      <c r="Q24" s="13">
        <v>157.63040000000001</v>
      </c>
      <c r="R24" s="13"/>
    </row>
    <row r="25" spans="1:18" x14ac:dyDescent="0.25">
      <c r="A25" s="13">
        <v>20</v>
      </c>
      <c r="B25" s="14" t="s">
        <v>29</v>
      </c>
      <c r="C25" s="13" t="s">
        <v>45</v>
      </c>
      <c r="D25" s="13" t="s">
        <v>31</v>
      </c>
      <c r="E25" s="13" t="s">
        <v>26</v>
      </c>
      <c r="F25" s="13"/>
      <c r="G25" s="13"/>
      <c r="H25" s="13">
        <v>1</v>
      </c>
      <c r="I25" s="66">
        <f t="shared" si="0"/>
        <v>1</v>
      </c>
      <c r="J25" s="15">
        <f t="shared" si="1"/>
        <v>762.93113600000004</v>
      </c>
      <c r="K25" s="15">
        <f t="shared" si="2"/>
        <v>762.93113600000004</v>
      </c>
      <c r="L25" s="13">
        <v>52006</v>
      </c>
      <c r="M25" s="103"/>
      <c r="N25" s="13">
        <v>4.33</v>
      </c>
      <c r="O25" s="13">
        <v>4.84</v>
      </c>
      <c r="P25" s="13">
        <v>3.98</v>
      </c>
      <c r="Q25" s="13">
        <v>157.63040000000001</v>
      </c>
      <c r="R25" s="13"/>
    </row>
    <row r="26" spans="1:18" x14ac:dyDescent="0.25">
      <c r="A26" s="13">
        <v>21</v>
      </c>
      <c r="B26" s="14" t="s">
        <v>29</v>
      </c>
      <c r="C26" s="13" t="s">
        <v>46</v>
      </c>
      <c r="D26" s="13" t="s">
        <v>31</v>
      </c>
      <c r="E26" s="13" t="s">
        <v>26</v>
      </c>
      <c r="F26" s="13"/>
      <c r="G26" s="13"/>
      <c r="H26" s="13">
        <v>1</v>
      </c>
      <c r="I26" s="66">
        <f t="shared" si="0"/>
        <v>1</v>
      </c>
      <c r="J26" s="15">
        <f t="shared" si="1"/>
        <v>762.93113600000004</v>
      </c>
      <c r="K26" s="15">
        <f t="shared" si="2"/>
        <v>762.93113600000004</v>
      </c>
      <c r="L26" s="13">
        <v>52006</v>
      </c>
      <c r="M26" s="103"/>
      <c r="N26" s="13">
        <v>4.33</v>
      </c>
      <c r="O26" s="13">
        <v>4.84</v>
      </c>
      <c r="P26" s="13">
        <v>3.98</v>
      </c>
      <c r="Q26" s="13">
        <v>157.63040000000001</v>
      </c>
      <c r="R26" s="13"/>
    </row>
    <row r="27" spans="1:18" x14ac:dyDescent="0.25">
      <c r="A27" s="13">
        <v>22</v>
      </c>
      <c r="B27" s="14" t="s">
        <v>29</v>
      </c>
      <c r="C27" s="13" t="s">
        <v>47</v>
      </c>
      <c r="D27" s="13" t="s">
        <v>31</v>
      </c>
      <c r="E27" s="13" t="s">
        <v>26</v>
      </c>
      <c r="F27" s="13"/>
      <c r="G27" s="13"/>
      <c r="H27" s="13">
        <v>1</v>
      </c>
      <c r="I27" s="66">
        <f t="shared" si="0"/>
        <v>1</v>
      </c>
      <c r="J27" s="15">
        <f t="shared" si="1"/>
        <v>762.93113600000004</v>
      </c>
      <c r="K27" s="15">
        <f t="shared" si="2"/>
        <v>762.93113600000004</v>
      </c>
      <c r="L27" s="13">
        <v>52006</v>
      </c>
      <c r="M27" s="103"/>
      <c r="N27" s="13">
        <v>4.33</v>
      </c>
      <c r="O27" s="13">
        <v>4.84</v>
      </c>
      <c r="P27" s="13">
        <v>3.98</v>
      </c>
      <c r="Q27" s="13">
        <v>157.63040000000001</v>
      </c>
      <c r="R27" s="13"/>
    </row>
    <row r="28" spans="1:18" x14ac:dyDescent="0.25">
      <c r="A28" s="13">
        <v>23</v>
      </c>
      <c r="B28" s="14" t="s">
        <v>48</v>
      </c>
      <c r="C28" s="13" t="s">
        <v>49</v>
      </c>
      <c r="D28" s="13" t="s">
        <v>31</v>
      </c>
      <c r="E28" s="13" t="s">
        <v>26</v>
      </c>
      <c r="F28" s="13"/>
      <c r="G28" s="13"/>
      <c r="H28" s="13">
        <v>3</v>
      </c>
      <c r="I28" s="66">
        <f t="shared" si="0"/>
        <v>3</v>
      </c>
      <c r="J28" s="15">
        <f t="shared" si="1"/>
        <v>636.82681600000001</v>
      </c>
      <c r="K28" s="15">
        <f t="shared" si="2"/>
        <v>1910.480448</v>
      </c>
      <c r="L28" s="13">
        <v>52006</v>
      </c>
      <c r="M28" s="103"/>
      <c r="N28" s="13">
        <v>3.61</v>
      </c>
      <c r="O28" s="13">
        <v>4.04</v>
      </c>
      <c r="P28" s="13">
        <v>3.32</v>
      </c>
      <c r="Q28" s="13">
        <v>157.63040000000001</v>
      </c>
      <c r="R28" s="13"/>
    </row>
    <row r="29" spans="1:18" x14ac:dyDescent="0.25">
      <c r="A29" s="13">
        <v>24</v>
      </c>
      <c r="B29" s="14" t="s">
        <v>48</v>
      </c>
      <c r="C29" s="13" t="s">
        <v>50</v>
      </c>
      <c r="D29" s="13" t="s">
        <v>36</v>
      </c>
      <c r="E29" s="13" t="s">
        <v>26</v>
      </c>
      <c r="F29" s="13"/>
      <c r="G29" s="13"/>
      <c r="H29" s="13">
        <v>2</v>
      </c>
      <c r="I29" s="66">
        <f t="shared" si="0"/>
        <v>2</v>
      </c>
      <c r="J29" s="15">
        <f t="shared" si="1"/>
        <v>636.82681600000001</v>
      </c>
      <c r="K29" s="15">
        <f t="shared" si="2"/>
        <v>1273.653632</v>
      </c>
      <c r="L29" s="13">
        <v>52006</v>
      </c>
      <c r="M29" s="103"/>
      <c r="N29" s="13">
        <v>3.61</v>
      </c>
      <c r="O29" s="13">
        <v>4.04</v>
      </c>
      <c r="P29" s="13">
        <v>3.32</v>
      </c>
      <c r="Q29" s="13">
        <v>157.63040000000001</v>
      </c>
      <c r="R29" s="13"/>
    </row>
    <row r="30" spans="1:18" x14ac:dyDescent="0.25">
      <c r="A30" s="13">
        <v>25</v>
      </c>
      <c r="B30" s="14" t="s">
        <v>48</v>
      </c>
      <c r="C30" s="17">
        <v>88</v>
      </c>
      <c r="D30" s="13" t="s">
        <v>31</v>
      </c>
      <c r="E30" s="13" t="s">
        <v>26</v>
      </c>
      <c r="F30" s="13"/>
      <c r="G30" s="13"/>
      <c r="H30" s="13">
        <v>2</v>
      </c>
      <c r="I30" s="66">
        <f t="shared" si="0"/>
        <v>2</v>
      </c>
      <c r="J30" s="15">
        <f t="shared" si="1"/>
        <v>636.82681600000001</v>
      </c>
      <c r="K30" s="15">
        <f t="shared" si="2"/>
        <v>1273.653632</v>
      </c>
      <c r="L30" s="13">
        <v>52006</v>
      </c>
      <c r="M30" s="103"/>
      <c r="N30" s="13">
        <v>3.61</v>
      </c>
      <c r="O30" s="13">
        <v>4.04</v>
      </c>
      <c r="P30" s="13">
        <v>3.32</v>
      </c>
      <c r="Q30" s="13">
        <v>157.63040000000001</v>
      </c>
      <c r="R30" s="13"/>
    </row>
    <row r="31" spans="1:18" x14ac:dyDescent="0.25">
      <c r="A31" s="13">
        <v>26</v>
      </c>
      <c r="B31" s="14" t="s">
        <v>48</v>
      </c>
      <c r="C31" s="13" t="s">
        <v>51</v>
      </c>
      <c r="D31" s="13" t="s">
        <v>36</v>
      </c>
      <c r="E31" s="13" t="s">
        <v>26</v>
      </c>
      <c r="F31" s="13"/>
      <c r="G31" s="13"/>
      <c r="H31" s="13">
        <v>2</v>
      </c>
      <c r="I31" s="66">
        <f t="shared" si="0"/>
        <v>2</v>
      </c>
      <c r="J31" s="15">
        <f t="shared" si="1"/>
        <v>636.82681600000001</v>
      </c>
      <c r="K31" s="15">
        <f t="shared" si="2"/>
        <v>1273.653632</v>
      </c>
      <c r="L31" s="13">
        <v>52006</v>
      </c>
      <c r="M31" s="103"/>
      <c r="N31" s="13">
        <v>3.61</v>
      </c>
      <c r="O31" s="13">
        <v>4.04</v>
      </c>
      <c r="P31" s="13">
        <v>3.32</v>
      </c>
      <c r="Q31" s="13">
        <v>157.63040000000001</v>
      </c>
      <c r="R31" s="13"/>
    </row>
    <row r="32" spans="1:18" x14ac:dyDescent="0.25">
      <c r="A32" s="13">
        <v>27</v>
      </c>
      <c r="B32" s="14" t="s">
        <v>48</v>
      </c>
      <c r="C32" s="13" t="s">
        <v>52</v>
      </c>
      <c r="D32" s="13" t="s">
        <v>31</v>
      </c>
      <c r="E32" s="13" t="s">
        <v>26</v>
      </c>
      <c r="F32" s="13"/>
      <c r="G32" s="13"/>
      <c r="H32" s="13">
        <v>1</v>
      </c>
      <c r="I32" s="66">
        <f t="shared" si="0"/>
        <v>1</v>
      </c>
      <c r="J32" s="15">
        <f t="shared" si="1"/>
        <v>636.82681600000001</v>
      </c>
      <c r="K32" s="15">
        <f t="shared" si="2"/>
        <v>636.82681600000001</v>
      </c>
      <c r="L32" s="13">
        <v>52006</v>
      </c>
      <c r="M32" s="103"/>
      <c r="N32" s="13">
        <v>3.61</v>
      </c>
      <c r="O32" s="13">
        <v>4.04</v>
      </c>
      <c r="P32" s="13">
        <v>3.32</v>
      </c>
      <c r="Q32" s="13">
        <v>157.63040000000001</v>
      </c>
      <c r="R32" s="13"/>
    </row>
    <row r="33" spans="1:18" x14ac:dyDescent="0.25">
      <c r="A33" s="13">
        <v>28</v>
      </c>
      <c r="B33" s="14" t="s">
        <v>48</v>
      </c>
      <c r="C33" s="13" t="s">
        <v>53</v>
      </c>
      <c r="D33" s="13" t="s">
        <v>31</v>
      </c>
      <c r="E33" s="13" t="s">
        <v>26</v>
      </c>
      <c r="F33" s="13"/>
      <c r="G33" s="13"/>
      <c r="H33" s="13">
        <v>5</v>
      </c>
      <c r="I33" s="66">
        <f t="shared" si="0"/>
        <v>5</v>
      </c>
      <c r="J33" s="15">
        <f t="shared" si="1"/>
        <v>636.82681600000001</v>
      </c>
      <c r="K33" s="15">
        <f t="shared" si="2"/>
        <v>3184.1340799999998</v>
      </c>
      <c r="L33" s="13">
        <v>52006</v>
      </c>
      <c r="M33" s="103"/>
      <c r="N33" s="13">
        <v>3.61</v>
      </c>
      <c r="O33" s="13">
        <v>4.04</v>
      </c>
      <c r="P33" s="13">
        <v>3.32</v>
      </c>
      <c r="Q33" s="13">
        <v>157.63040000000001</v>
      </c>
      <c r="R33" s="13"/>
    </row>
    <row r="34" spans="1:18" x14ac:dyDescent="0.25">
      <c r="A34" s="13">
        <v>29</v>
      </c>
      <c r="B34" s="14" t="s">
        <v>54</v>
      </c>
      <c r="C34" s="13" t="s">
        <v>36</v>
      </c>
      <c r="D34" s="13" t="s">
        <v>36</v>
      </c>
      <c r="E34" s="13" t="s">
        <v>26</v>
      </c>
      <c r="F34" s="13"/>
      <c r="G34" s="13"/>
      <c r="H34" s="13">
        <v>325</v>
      </c>
      <c r="I34" s="66">
        <f t="shared" si="0"/>
        <v>325</v>
      </c>
      <c r="J34" s="15">
        <f t="shared" si="1"/>
        <v>912.68001600000002</v>
      </c>
      <c r="K34" s="15">
        <f t="shared" si="2"/>
        <v>296621.00520000001</v>
      </c>
      <c r="L34" s="13">
        <v>52006</v>
      </c>
      <c r="M34" s="103"/>
      <c r="N34" s="13">
        <v>5.17</v>
      </c>
      <c r="O34" s="13">
        <v>5.79</v>
      </c>
      <c r="P34" s="13">
        <v>4.76</v>
      </c>
      <c r="Q34" s="13">
        <v>157.63040000000001</v>
      </c>
      <c r="R34" s="13"/>
    </row>
    <row r="35" spans="1:18" x14ac:dyDescent="0.25">
      <c r="A35" s="13">
        <v>30</v>
      </c>
      <c r="B35" s="14" t="s">
        <v>54</v>
      </c>
      <c r="C35" s="13" t="s">
        <v>55</v>
      </c>
      <c r="D35" s="13" t="s">
        <v>34</v>
      </c>
      <c r="E35" s="13" t="s">
        <v>26</v>
      </c>
      <c r="F35" s="13"/>
      <c r="G35" s="13"/>
      <c r="H35" s="13">
        <v>3</v>
      </c>
      <c r="I35" s="66">
        <f t="shared" si="0"/>
        <v>3</v>
      </c>
      <c r="J35" s="15">
        <f t="shared" si="1"/>
        <v>912.68001600000002</v>
      </c>
      <c r="K35" s="15">
        <f t="shared" si="2"/>
        <v>2738.0400479999998</v>
      </c>
      <c r="L35" s="13">
        <v>52006</v>
      </c>
      <c r="M35" s="103"/>
      <c r="N35" s="13">
        <v>5.17</v>
      </c>
      <c r="O35" s="13">
        <v>5.79</v>
      </c>
      <c r="P35" s="13">
        <v>4.76</v>
      </c>
      <c r="Q35" s="13">
        <v>157.63040000000001</v>
      </c>
      <c r="R35" s="13"/>
    </row>
    <row r="36" spans="1:18" x14ac:dyDescent="0.25">
      <c r="A36" s="13">
        <v>31</v>
      </c>
      <c r="B36" s="14" t="s">
        <v>56</v>
      </c>
      <c r="C36" s="13" t="s">
        <v>55</v>
      </c>
      <c r="D36" s="13" t="s">
        <v>34</v>
      </c>
      <c r="E36" s="13" t="s">
        <v>26</v>
      </c>
      <c r="F36" s="13"/>
      <c r="G36" s="13"/>
      <c r="H36" s="13">
        <v>2</v>
      </c>
      <c r="I36" s="66">
        <f t="shared" si="0"/>
        <v>2</v>
      </c>
      <c r="J36" s="15">
        <f t="shared" si="1"/>
        <v>912.68001600000002</v>
      </c>
      <c r="K36" s="15">
        <f t="shared" si="2"/>
        <v>1825.360032</v>
      </c>
      <c r="L36" s="13">
        <v>52006</v>
      </c>
      <c r="M36" s="103"/>
      <c r="N36" s="13">
        <v>5.17</v>
      </c>
      <c r="O36" s="13">
        <v>5.79</v>
      </c>
      <c r="P36" s="13">
        <v>4.76</v>
      </c>
      <c r="Q36" s="13">
        <v>157.63040000000001</v>
      </c>
      <c r="R36" s="13"/>
    </row>
    <row r="37" spans="1:18" x14ac:dyDescent="0.25">
      <c r="A37" s="13">
        <v>32</v>
      </c>
      <c r="B37" s="14" t="s">
        <v>54</v>
      </c>
      <c r="C37" s="13" t="s">
        <v>36</v>
      </c>
      <c r="D37" s="13" t="s">
        <v>31</v>
      </c>
      <c r="E37" s="13" t="s">
        <v>26</v>
      </c>
      <c r="F37" s="13"/>
      <c r="G37" s="13"/>
      <c r="H37" s="13">
        <v>5</v>
      </c>
      <c r="I37" s="66">
        <f t="shared" si="0"/>
        <v>5</v>
      </c>
      <c r="J37" s="15">
        <f t="shared" si="1"/>
        <v>912.68001600000002</v>
      </c>
      <c r="K37" s="15">
        <f t="shared" si="2"/>
        <v>4563.4000800000003</v>
      </c>
      <c r="L37" s="13">
        <v>52007</v>
      </c>
      <c r="M37" s="103"/>
      <c r="N37" s="13">
        <v>5.17</v>
      </c>
      <c r="O37" s="13">
        <v>5.79</v>
      </c>
      <c r="P37" s="13">
        <v>4.76</v>
      </c>
      <c r="Q37" s="13">
        <v>157.63040000000001</v>
      </c>
      <c r="R37" s="13"/>
    </row>
    <row r="38" spans="1:18" x14ac:dyDescent="0.25">
      <c r="A38" s="13">
        <v>33</v>
      </c>
      <c r="B38" s="14" t="s">
        <v>56</v>
      </c>
      <c r="C38" s="13" t="s">
        <v>36</v>
      </c>
      <c r="D38" s="13" t="s">
        <v>36</v>
      </c>
      <c r="E38" s="13" t="s">
        <v>26</v>
      </c>
      <c r="F38" s="13"/>
      <c r="G38" s="13"/>
      <c r="H38" s="13">
        <v>8</v>
      </c>
      <c r="I38" s="66">
        <f t="shared" ref="I38:I69" si="3">SUM(F38:H38)</f>
        <v>8</v>
      </c>
      <c r="J38" s="15">
        <f t="shared" ref="J38:J69" si="4">O38*Q38</f>
        <v>912.68001600000002</v>
      </c>
      <c r="K38" s="15">
        <f t="shared" ref="K38:K69" si="5">J38*I38</f>
        <v>7301.4401280000002</v>
      </c>
      <c r="L38" s="13">
        <v>52007</v>
      </c>
      <c r="M38" s="103"/>
      <c r="N38" s="13">
        <v>5.17</v>
      </c>
      <c r="O38" s="13">
        <v>5.79</v>
      </c>
      <c r="P38" s="13">
        <v>4.76</v>
      </c>
      <c r="Q38" s="13">
        <v>157.63040000000001</v>
      </c>
      <c r="R38" s="13"/>
    </row>
    <row r="39" spans="1:18" x14ac:dyDescent="0.25">
      <c r="A39" s="13">
        <v>34</v>
      </c>
      <c r="B39" s="14" t="s">
        <v>56</v>
      </c>
      <c r="C39" s="13" t="s">
        <v>57</v>
      </c>
      <c r="D39" s="13" t="s">
        <v>34</v>
      </c>
      <c r="E39" s="13" t="s">
        <v>26</v>
      </c>
      <c r="F39" s="13"/>
      <c r="G39" s="13"/>
      <c r="H39" s="13">
        <v>3</v>
      </c>
      <c r="I39" s="66">
        <f t="shared" si="3"/>
        <v>3</v>
      </c>
      <c r="J39" s="15">
        <f t="shared" si="4"/>
        <v>912.68001600000002</v>
      </c>
      <c r="K39" s="15">
        <f t="shared" si="5"/>
        <v>2738.0400479999998</v>
      </c>
      <c r="L39" s="13">
        <v>52007</v>
      </c>
      <c r="M39" s="103"/>
      <c r="N39" s="13">
        <v>5.17</v>
      </c>
      <c r="O39" s="13">
        <v>5.79</v>
      </c>
      <c r="P39" s="13">
        <v>4.76</v>
      </c>
      <c r="Q39" s="13">
        <v>157.63040000000001</v>
      </c>
      <c r="R39" s="13"/>
    </row>
    <row r="40" spans="1:18" x14ac:dyDescent="0.25">
      <c r="A40" s="13">
        <v>35</v>
      </c>
      <c r="B40" s="14" t="s">
        <v>54</v>
      </c>
      <c r="C40" s="13" t="s">
        <v>42</v>
      </c>
      <c r="D40" s="13" t="s">
        <v>36</v>
      </c>
      <c r="E40" s="13" t="s">
        <v>26</v>
      </c>
      <c r="F40" s="13"/>
      <c r="G40" s="13"/>
      <c r="H40" s="13">
        <v>18</v>
      </c>
      <c r="I40" s="66">
        <f t="shared" si="3"/>
        <v>18</v>
      </c>
      <c r="J40" s="15">
        <f t="shared" si="4"/>
        <v>912.68001600000002</v>
      </c>
      <c r="K40" s="15">
        <f t="shared" si="5"/>
        <v>16428.240288000001</v>
      </c>
      <c r="L40" s="13">
        <v>52007</v>
      </c>
      <c r="M40" s="103"/>
      <c r="N40" s="13">
        <v>5.17</v>
      </c>
      <c r="O40" s="13">
        <v>5.79</v>
      </c>
      <c r="P40" s="13">
        <v>4.76</v>
      </c>
      <c r="Q40" s="13">
        <v>157.63040000000001</v>
      </c>
      <c r="R40" s="13"/>
    </row>
    <row r="41" spans="1:18" x14ac:dyDescent="0.25">
      <c r="A41" s="13">
        <v>36</v>
      </c>
      <c r="B41" s="14" t="s">
        <v>56</v>
      </c>
      <c r="C41" s="13" t="s">
        <v>58</v>
      </c>
      <c r="D41" s="13" t="s">
        <v>36</v>
      </c>
      <c r="E41" s="13" t="s">
        <v>26</v>
      </c>
      <c r="F41" s="13"/>
      <c r="G41" s="13"/>
      <c r="H41" s="13">
        <v>1</v>
      </c>
      <c r="I41" s="66">
        <f t="shared" si="3"/>
        <v>1</v>
      </c>
      <c r="J41" s="15">
        <f t="shared" si="4"/>
        <v>912.68001600000002</v>
      </c>
      <c r="K41" s="15">
        <f t="shared" si="5"/>
        <v>912.68001600000002</v>
      </c>
      <c r="L41" s="13">
        <v>52007</v>
      </c>
      <c r="M41" s="103"/>
      <c r="N41" s="13">
        <v>5.17</v>
      </c>
      <c r="O41" s="13">
        <v>5.79</v>
      </c>
      <c r="P41" s="13">
        <v>4.76</v>
      </c>
      <c r="Q41" s="13">
        <v>157.63040000000001</v>
      </c>
      <c r="R41" s="13"/>
    </row>
    <row r="42" spans="1:18" x14ac:dyDescent="0.25">
      <c r="A42" s="13">
        <v>37</v>
      </c>
      <c r="B42" s="14" t="s">
        <v>56</v>
      </c>
      <c r="C42" s="13" t="s">
        <v>59</v>
      </c>
      <c r="D42" s="13" t="s">
        <v>36</v>
      </c>
      <c r="E42" s="13" t="s">
        <v>26</v>
      </c>
      <c r="F42" s="13"/>
      <c r="G42" s="13"/>
      <c r="H42" s="13">
        <v>3</v>
      </c>
      <c r="I42" s="66">
        <f t="shared" si="3"/>
        <v>3</v>
      </c>
      <c r="J42" s="15">
        <f t="shared" si="4"/>
        <v>912.68001600000002</v>
      </c>
      <c r="K42" s="15">
        <f t="shared" si="5"/>
        <v>2738.0400479999998</v>
      </c>
      <c r="L42" s="13">
        <v>52007</v>
      </c>
      <c r="M42" s="103"/>
      <c r="N42" s="13">
        <v>5.17</v>
      </c>
      <c r="O42" s="13">
        <v>5.79</v>
      </c>
      <c r="P42" s="13">
        <v>4.76</v>
      </c>
      <c r="Q42" s="13">
        <v>157.63040000000001</v>
      </c>
      <c r="R42" s="13"/>
    </row>
    <row r="43" spans="1:18" x14ac:dyDescent="0.25">
      <c r="A43" s="13">
        <v>38</v>
      </c>
      <c r="B43" s="14" t="s">
        <v>60</v>
      </c>
      <c r="C43" s="13" t="s">
        <v>61</v>
      </c>
      <c r="D43" s="13" t="s">
        <v>31</v>
      </c>
      <c r="E43" s="13" t="s">
        <v>26</v>
      </c>
      <c r="F43" s="13"/>
      <c r="G43" s="13"/>
      <c r="H43" s="13">
        <v>3</v>
      </c>
      <c r="I43" s="66">
        <f t="shared" si="3"/>
        <v>3</v>
      </c>
      <c r="J43" s="15">
        <f t="shared" si="4"/>
        <v>1596.7959520000002</v>
      </c>
      <c r="K43" s="15">
        <f t="shared" si="5"/>
        <v>4790.3878560000003</v>
      </c>
      <c r="L43" s="13">
        <v>52007</v>
      </c>
      <c r="M43" s="103"/>
      <c r="N43" s="13">
        <v>9.0500000000000007</v>
      </c>
      <c r="O43" s="13">
        <v>10.130000000000001</v>
      </c>
      <c r="P43" s="13">
        <v>8.33</v>
      </c>
      <c r="Q43" s="13">
        <v>157.63040000000001</v>
      </c>
      <c r="R43" s="13"/>
    </row>
    <row r="44" spans="1:18" x14ac:dyDescent="0.25">
      <c r="A44" s="13">
        <v>39</v>
      </c>
      <c r="B44" s="14" t="s">
        <v>62</v>
      </c>
      <c r="C44" s="13" t="s">
        <v>42</v>
      </c>
      <c r="D44" s="13" t="s">
        <v>36</v>
      </c>
      <c r="E44" s="13" t="s">
        <v>26</v>
      </c>
      <c r="F44" s="13"/>
      <c r="G44" s="13"/>
      <c r="H44" s="13">
        <v>1</v>
      </c>
      <c r="I44" s="66">
        <f t="shared" si="3"/>
        <v>1</v>
      </c>
      <c r="J44" s="15">
        <f t="shared" si="4"/>
        <v>1596.7959520000002</v>
      </c>
      <c r="K44" s="15">
        <f t="shared" si="5"/>
        <v>1596.7959520000002</v>
      </c>
      <c r="L44" s="13">
        <v>52007</v>
      </c>
      <c r="M44" s="103"/>
      <c r="N44" s="13">
        <v>9.0500000000000007</v>
      </c>
      <c r="O44" s="13">
        <v>10.130000000000001</v>
      </c>
      <c r="P44" s="13">
        <v>8.33</v>
      </c>
      <c r="Q44" s="13">
        <v>157.63040000000001</v>
      </c>
      <c r="R44" s="13"/>
    </row>
    <row r="45" spans="1:18" x14ac:dyDescent="0.25">
      <c r="A45" s="13">
        <v>40</v>
      </c>
      <c r="B45" s="14" t="s">
        <v>63</v>
      </c>
      <c r="C45" s="13" t="s">
        <v>30</v>
      </c>
      <c r="D45" s="13" t="s">
        <v>31</v>
      </c>
      <c r="E45" s="13" t="s">
        <v>26</v>
      </c>
      <c r="F45" s="13"/>
      <c r="G45" s="13"/>
      <c r="H45" s="13">
        <v>1</v>
      </c>
      <c r="I45" s="66">
        <f t="shared" si="3"/>
        <v>1</v>
      </c>
      <c r="J45" s="15">
        <f t="shared" si="4"/>
        <v>2572.5281280000004</v>
      </c>
      <c r="K45" s="15">
        <f t="shared" si="5"/>
        <v>2572.5281280000004</v>
      </c>
      <c r="L45" s="13">
        <v>52007</v>
      </c>
      <c r="M45" s="103"/>
      <c r="N45" s="13">
        <v>14.58</v>
      </c>
      <c r="O45" s="13">
        <v>16.32</v>
      </c>
      <c r="P45" s="13">
        <v>13.44</v>
      </c>
      <c r="Q45" s="13">
        <v>157.63040000000001</v>
      </c>
      <c r="R45" s="13"/>
    </row>
    <row r="46" spans="1:18" x14ac:dyDescent="0.25">
      <c r="A46" s="13">
        <v>41</v>
      </c>
      <c r="B46" s="14" t="s">
        <v>64</v>
      </c>
      <c r="C46" s="13" t="s">
        <v>36</v>
      </c>
      <c r="D46" s="13" t="s">
        <v>36</v>
      </c>
      <c r="E46" s="13" t="s">
        <v>65</v>
      </c>
      <c r="F46" s="13"/>
      <c r="G46" s="13"/>
      <c r="H46" s="13">
        <v>2</v>
      </c>
      <c r="I46" s="66">
        <f t="shared" si="3"/>
        <v>2</v>
      </c>
      <c r="J46" s="15">
        <f t="shared" si="4"/>
        <v>1741.8159200000002</v>
      </c>
      <c r="K46" s="15">
        <f t="shared" si="5"/>
        <v>3483.6318400000005</v>
      </c>
      <c r="L46" s="13">
        <v>52007</v>
      </c>
      <c r="M46" s="104"/>
      <c r="N46" s="13">
        <v>9.8699999999999992</v>
      </c>
      <c r="O46" s="13">
        <v>11.05</v>
      </c>
      <c r="P46" s="13">
        <v>9.09</v>
      </c>
      <c r="Q46" s="13">
        <v>157.63040000000001</v>
      </c>
      <c r="R46" s="13"/>
    </row>
    <row r="47" spans="1:18" x14ac:dyDescent="0.25">
      <c r="A47" s="13">
        <v>42</v>
      </c>
      <c r="B47" s="14" t="s">
        <v>66</v>
      </c>
      <c r="C47" s="13" t="s">
        <v>36</v>
      </c>
      <c r="D47" s="13" t="s">
        <v>36</v>
      </c>
      <c r="E47" s="13" t="s">
        <v>26</v>
      </c>
      <c r="F47" s="13"/>
      <c r="G47" s="13"/>
      <c r="H47" s="13">
        <v>1</v>
      </c>
      <c r="I47" s="66">
        <f t="shared" si="3"/>
        <v>1</v>
      </c>
      <c r="J47" s="15">
        <f t="shared" si="4"/>
        <v>1517.9807520000002</v>
      </c>
      <c r="K47" s="15">
        <f t="shared" si="5"/>
        <v>1517.9807520000002</v>
      </c>
      <c r="L47" s="13">
        <v>52007</v>
      </c>
      <c r="M47" s="102" t="s">
        <v>704</v>
      </c>
      <c r="N47" s="13">
        <v>8.6</v>
      </c>
      <c r="O47" s="13">
        <v>9.6300000000000008</v>
      </c>
      <c r="P47" s="13">
        <v>7.92</v>
      </c>
      <c r="Q47" s="13">
        <v>157.63040000000001</v>
      </c>
      <c r="R47" s="13"/>
    </row>
    <row r="48" spans="1:18" x14ac:dyDescent="0.25">
      <c r="A48" s="13">
        <v>43</v>
      </c>
      <c r="B48" s="14" t="s">
        <v>67</v>
      </c>
      <c r="C48" s="13" t="s">
        <v>36</v>
      </c>
      <c r="D48" s="13" t="s">
        <v>36</v>
      </c>
      <c r="E48" s="13" t="s">
        <v>26</v>
      </c>
      <c r="F48" s="13"/>
      <c r="G48" s="13"/>
      <c r="H48" s="13">
        <v>28</v>
      </c>
      <c r="I48" s="66">
        <f t="shared" si="3"/>
        <v>28</v>
      </c>
      <c r="J48" s="15">
        <f t="shared" si="4"/>
        <v>368.85513600000002</v>
      </c>
      <c r="K48" s="15">
        <f t="shared" si="5"/>
        <v>10327.943808</v>
      </c>
      <c r="L48" s="13">
        <v>52007</v>
      </c>
      <c r="M48" s="103"/>
      <c r="N48" s="13">
        <v>2.09</v>
      </c>
      <c r="O48" s="13">
        <v>2.34</v>
      </c>
      <c r="P48" s="13">
        <v>1.26</v>
      </c>
      <c r="Q48" s="13">
        <v>157.63040000000001</v>
      </c>
      <c r="R48" s="13"/>
    </row>
    <row r="49" spans="1:18" x14ac:dyDescent="0.25">
      <c r="A49" s="13">
        <v>44</v>
      </c>
      <c r="B49" s="14" t="s">
        <v>68</v>
      </c>
      <c r="C49" s="13" t="s">
        <v>36</v>
      </c>
      <c r="D49" s="13" t="s">
        <v>36</v>
      </c>
      <c r="E49" s="13" t="s">
        <v>26</v>
      </c>
      <c r="F49" s="13"/>
      <c r="G49" s="13"/>
      <c r="H49" s="13">
        <v>22</v>
      </c>
      <c r="I49" s="66">
        <f t="shared" si="3"/>
        <v>22</v>
      </c>
      <c r="J49" s="15">
        <f t="shared" si="4"/>
        <v>453.97555199999999</v>
      </c>
      <c r="K49" s="15">
        <f t="shared" si="5"/>
        <v>9987.4621439999992</v>
      </c>
      <c r="L49" s="13">
        <v>52007</v>
      </c>
      <c r="M49" s="103"/>
      <c r="N49" s="13">
        <v>2.58</v>
      </c>
      <c r="O49" s="13">
        <v>2.88</v>
      </c>
      <c r="P49" s="13">
        <v>2.37</v>
      </c>
      <c r="Q49" s="13">
        <v>157.63040000000001</v>
      </c>
      <c r="R49" s="13"/>
    </row>
    <row r="50" spans="1:18" x14ac:dyDescent="0.25">
      <c r="A50" s="13">
        <v>45</v>
      </c>
      <c r="B50" s="14" t="s">
        <v>63</v>
      </c>
      <c r="C50" s="13" t="s">
        <v>61</v>
      </c>
      <c r="D50" s="13" t="s">
        <v>31</v>
      </c>
      <c r="E50" s="13" t="s">
        <v>26</v>
      </c>
      <c r="F50" s="13"/>
      <c r="G50" s="13"/>
      <c r="H50" s="13">
        <v>1</v>
      </c>
      <c r="I50" s="66">
        <f t="shared" si="3"/>
        <v>1</v>
      </c>
      <c r="J50" s="15">
        <f t="shared" si="4"/>
        <v>2572.5281280000004</v>
      </c>
      <c r="K50" s="15">
        <f t="shared" si="5"/>
        <v>2572.5281280000004</v>
      </c>
      <c r="L50" s="13">
        <v>52008</v>
      </c>
      <c r="M50" s="103"/>
      <c r="N50" s="13">
        <v>14.58</v>
      </c>
      <c r="O50" s="13">
        <v>16.32</v>
      </c>
      <c r="P50" s="13">
        <v>13.44</v>
      </c>
      <c r="Q50" s="13">
        <v>157.63040000000001</v>
      </c>
      <c r="R50" s="13"/>
    </row>
    <row r="51" spans="1:18" x14ac:dyDescent="0.25">
      <c r="A51" s="13">
        <v>46</v>
      </c>
      <c r="B51" s="14" t="s">
        <v>44</v>
      </c>
      <c r="C51" s="13" t="s">
        <v>69</v>
      </c>
      <c r="D51" s="13" t="s">
        <v>31</v>
      </c>
      <c r="E51" s="13" t="s">
        <v>26</v>
      </c>
      <c r="F51" s="13"/>
      <c r="G51" s="13"/>
      <c r="H51" s="13">
        <v>1</v>
      </c>
      <c r="I51" s="66">
        <f t="shared" si="3"/>
        <v>1</v>
      </c>
      <c r="J51" s="15">
        <f t="shared" si="4"/>
        <v>762.93113600000004</v>
      </c>
      <c r="K51" s="15">
        <f t="shared" si="5"/>
        <v>762.93113600000004</v>
      </c>
      <c r="L51" s="13">
        <v>52008</v>
      </c>
      <c r="M51" s="103"/>
      <c r="N51" s="13">
        <v>4.33</v>
      </c>
      <c r="O51" s="13">
        <v>4.84</v>
      </c>
      <c r="P51" s="18">
        <v>3.98</v>
      </c>
      <c r="Q51" s="13">
        <v>157.63040000000001</v>
      </c>
      <c r="R51" s="13"/>
    </row>
    <row r="52" spans="1:18" x14ac:dyDescent="0.25">
      <c r="A52" s="13">
        <v>47</v>
      </c>
      <c r="B52" s="14" t="s">
        <v>70</v>
      </c>
      <c r="C52" s="13" t="s">
        <v>36</v>
      </c>
      <c r="D52" s="13" t="s">
        <v>36</v>
      </c>
      <c r="E52" s="13" t="s">
        <v>26</v>
      </c>
      <c r="F52" s="13"/>
      <c r="G52" s="13"/>
      <c r="H52" s="13">
        <v>150</v>
      </c>
      <c r="I52" s="66">
        <f t="shared" si="3"/>
        <v>150</v>
      </c>
      <c r="J52" s="15">
        <f t="shared" si="4"/>
        <v>453.97555199999999</v>
      </c>
      <c r="K52" s="15">
        <f t="shared" si="5"/>
        <v>68096.332800000004</v>
      </c>
      <c r="L52" s="13">
        <v>52008</v>
      </c>
      <c r="M52" s="103"/>
      <c r="N52" s="13">
        <v>2.58</v>
      </c>
      <c r="O52" s="13">
        <v>2.88</v>
      </c>
      <c r="P52" s="13">
        <v>1.55</v>
      </c>
      <c r="Q52" s="13">
        <v>157.63040000000001</v>
      </c>
      <c r="R52" s="13"/>
    </row>
    <row r="53" spans="1:18" x14ac:dyDescent="0.25">
      <c r="A53" s="13">
        <v>48</v>
      </c>
      <c r="B53" s="14" t="s">
        <v>71</v>
      </c>
      <c r="C53" s="13" t="s">
        <v>36</v>
      </c>
      <c r="D53" s="13" t="s">
        <v>36</v>
      </c>
      <c r="E53" s="13" t="s">
        <v>26</v>
      </c>
      <c r="F53" s="13"/>
      <c r="G53" s="13"/>
      <c r="H53" s="13">
        <v>22</v>
      </c>
      <c r="I53" s="66">
        <f t="shared" si="3"/>
        <v>22</v>
      </c>
      <c r="J53" s="15">
        <f t="shared" si="4"/>
        <v>433.48360000000002</v>
      </c>
      <c r="K53" s="15">
        <f t="shared" si="5"/>
        <v>9536.6392000000014</v>
      </c>
      <c r="L53" s="13">
        <v>52008</v>
      </c>
      <c r="M53" s="103"/>
      <c r="N53" s="13">
        <v>2.46</v>
      </c>
      <c r="O53" s="13">
        <v>2.75</v>
      </c>
      <c r="P53" s="13">
        <v>2.2599999999999998</v>
      </c>
      <c r="Q53" s="13">
        <v>157.63040000000001</v>
      </c>
      <c r="R53" s="13"/>
    </row>
    <row r="54" spans="1:18" x14ac:dyDescent="0.25">
      <c r="A54" s="13">
        <v>49</v>
      </c>
      <c r="B54" s="14" t="s">
        <v>72</v>
      </c>
      <c r="C54" s="13" t="s">
        <v>36</v>
      </c>
      <c r="D54" s="13" t="s">
        <v>36</v>
      </c>
      <c r="E54" s="13" t="s">
        <v>26</v>
      </c>
      <c r="F54" s="13"/>
      <c r="G54" s="13"/>
      <c r="H54" s="13">
        <v>1</v>
      </c>
      <c r="I54" s="66">
        <f t="shared" si="3"/>
        <v>1</v>
      </c>
      <c r="J54" s="15">
        <f t="shared" si="4"/>
        <v>312.10819200000003</v>
      </c>
      <c r="K54" s="15">
        <f t="shared" si="5"/>
        <v>312.10819200000003</v>
      </c>
      <c r="L54" s="13">
        <v>52008</v>
      </c>
      <c r="M54" s="103"/>
      <c r="N54" s="13">
        <v>1.77</v>
      </c>
      <c r="O54" s="13">
        <v>1.98</v>
      </c>
      <c r="P54" s="13">
        <v>1.06</v>
      </c>
      <c r="Q54" s="13">
        <v>157.63040000000001</v>
      </c>
      <c r="R54" s="13"/>
    </row>
    <row r="55" spans="1:18" x14ac:dyDescent="0.25">
      <c r="A55" s="13">
        <v>50</v>
      </c>
      <c r="B55" s="14" t="s">
        <v>73</v>
      </c>
      <c r="C55" s="13" t="s">
        <v>36</v>
      </c>
      <c r="D55" s="13" t="s">
        <v>36</v>
      </c>
      <c r="E55" s="13" t="s">
        <v>26</v>
      </c>
      <c r="F55" s="13"/>
      <c r="G55" s="13"/>
      <c r="H55" s="13">
        <v>5</v>
      </c>
      <c r="I55" s="66">
        <f t="shared" si="3"/>
        <v>5</v>
      </c>
      <c r="J55" s="15">
        <f t="shared" si="4"/>
        <v>758.202224</v>
      </c>
      <c r="K55" s="15">
        <f t="shared" si="5"/>
        <v>3791.0111200000001</v>
      </c>
      <c r="L55" s="13">
        <v>52008</v>
      </c>
      <c r="M55" s="103"/>
      <c r="N55" s="13">
        <v>4.3</v>
      </c>
      <c r="O55" s="13">
        <v>4.8099999999999996</v>
      </c>
      <c r="P55" s="13">
        <v>2.59</v>
      </c>
      <c r="Q55" s="13">
        <v>157.63040000000001</v>
      </c>
      <c r="R55" s="13"/>
    </row>
    <row r="56" spans="1:18" x14ac:dyDescent="0.25">
      <c r="A56" s="13">
        <v>51</v>
      </c>
      <c r="B56" s="14" t="s">
        <v>74</v>
      </c>
      <c r="C56" s="13" t="s">
        <v>36</v>
      </c>
      <c r="D56" s="13" t="s">
        <v>36</v>
      </c>
      <c r="E56" s="13" t="s">
        <v>26</v>
      </c>
      <c r="F56" s="13"/>
      <c r="G56" s="13"/>
      <c r="H56" s="13">
        <v>36</v>
      </c>
      <c r="I56" s="66">
        <f t="shared" si="3"/>
        <v>36</v>
      </c>
      <c r="J56" s="15">
        <f t="shared" si="4"/>
        <v>909.52740800000004</v>
      </c>
      <c r="K56" s="15">
        <f t="shared" si="5"/>
        <v>32742.986688000001</v>
      </c>
      <c r="L56" s="13">
        <v>52008</v>
      </c>
      <c r="M56" s="103"/>
      <c r="N56" s="13">
        <v>5.16</v>
      </c>
      <c r="O56" s="13">
        <v>5.77</v>
      </c>
      <c r="P56" s="13">
        <v>3.11</v>
      </c>
      <c r="Q56" s="13">
        <v>157.63040000000001</v>
      </c>
      <c r="R56" s="13"/>
    </row>
    <row r="57" spans="1:18" x14ac:dyDescent="0.25">
      <c r="A57" s="13">
        <v>52</v>
      </c>
      <c r="B57" s="14" t="s">
        <v>77</v>
      </c>
      <c r="C57" s="13" t="s">
        <v>36</v>
      </c>
      <c r="D57" s="13" t="s">
        <v>36</v>
      </c>
      <c r="E57" s="13" t="s">
        <v>26</v>
      </c>
      <c r="F57" s="13"/>
      <c r="G57" s="13"/>
      <c r="H57" s="13">
        <v>26</v>
      </c>
      <c r="I57" s="66">
        <f t="shared" si="3"/>
        <v>26</v>
      </c>
      <c r="J57" s="15">
        <f t="shared" si="4"/>
        <v>1186.9569120000001</v>
      </c>
      <c r="K57" s="15">
        <f t="shared" si="5"/>
        <v>30860.879712000002</v>
      </c>
      <c r="L57" s="13">
        <v>52008</v>
      </c>
      <c r="M57" s="103"/>
      <c r="N57" s="13">
        <v>6.73</v>
      </c>
      <c r="O57" s="13">
        <v>7.53</v>
      </c>
      <c r="P57" s="13">
        <v>6.2</v>
      </c>
      <c r="Q57" s="13">
        <v>157.63040000000001</v>
      </c>
      <c r="R57" s="13"/>
    </row>
    <row r="58" spans="1:18" x14ac:dyDescent="0.25">
      <c r="A58" s="13">
        <v>53</v>
      </c>
      <c r="B58" s="14" t="s">
        <v>78</v>
      </c>
      <c r="C58" s="13" t="s">
        <v>36</v>
      </c>
      <c r="D58" s="13" t="s">
        <v>36</v>
      </c>
      <c r="E58" s="13" t="s">
        <v>26</v>
      </c>
      <c r="F58" s="13"/>
      <c r="G58" s="13"/>
      <c r="H58" s="13">
        <v>26</v>
      </c>
      <c r="I58" s="66">
        <f t="shared" si="3"/>
        <v>26</v>
      </c>
      <c r="J58" s="15">
        <f t="shared" si="4"/>
        <v>1450.1996799999999</v>
      </c>
      <c r="K58" s="15">
        <f t="shared" si="5"/>
        <v>37705.191679999996</v>
      </c>
      <c r="L58" s="13">
        <v>52008</v>
      </c>
      <c r="M58" s="103"/>
      <c r="N58" s="13">
        <v>8.2200000000000006</v>
      </c>
      <c r="O58" s="13">
        <v>9.1999999999999993</v>
      </c>
      <c r="P58" s="13">
        <v>4.96</v>
      </c>
      <c r="Q58" s="13">
        <v>157.63040000000001</v>
      </c>
      <c r="R58" s="13"/>
    </row>
    <row r="59" spans="1:18" x14ac:dyDescent="0.25">
      <c r="A59" s="13">
        <v>54</v>
      </c>
      <c r="B59" s="14" t="s">
        <v>80</v>
      </c>
      <c r="C59" s="13" t="s">
        <v>36</v>
      </c>
      <c r="D59" s="13" t="s">
        <v>36</v>
      </c>
      <c r="E59" s="13" t="s">
        <v>26</v>
      </c>
      <c r="F59" s="13"/>
      <c r="G59" s="13"/>
      <c r="H59" s="13">
        <v>26</v>
      </c>
      <c r="I59" s="66">
        <f t="shared" si="3"/>
        <v>26</v>
      </c>
      <c r="J59" s="15">
        <f t="shared" si="4"/>
        <v>88.273024000000007</v>
      </c>
      <c r="K59" s="15">
        <f t="shared" si="5"/>
        <v>2295.0986240000002</v>
      </c>
      <c r="L59" s="13">
        <v>52008</v>
      </c>
      <c r="M59" s="103"/>
      <c r="N59" s="13">
        <v>0.5</v>
      </c>
      <c r="O59" s="13">
        <v>0.56000000000000005</v>
      </c>
      <c r="P59" s="13">
        <v>0.46</v>
      </c>
      <c r="Q59" s="13">
        <v>157.63040000000001</v>
      </c>
      <c r="R59" s="13"/>
    </row>
    <row r="60" spans="1:18" x14ac:dyDescent="0.25">
      <c r="A60" s="13">
        <v>55</v>
      </c>
      <c r="B60" s="14" t="s">
        <v>81</v>
      </c>
      <c r="C60" s="13" t="s">
        <v>36</v>
      </c>
      <c r="D60" s="13" t="s">
        <v>36</v>
      </c>
      <c r="E60" s="13" t="s">
        <v>26</v>
      </c>
      <c r="F60" s="13"/>
      <c r="G60" s="13"/>
      <c r="H60" s="13">
        <v>2</v>
      </c>
      <c r="I60" s="66">
        <f t="shared" si="3"/>
        <v>2</v>
      </c>
      <c r="J60" s="15">
        <f t="shared" si="4"/>
        <v>346.78688000000005</v>
      </c>
      <c r="K60" s="15">
        <f t="shared" si="5"/>
        <v>693.57376000000011</v>
      </c>
      <c r="L60" s="13">
        <v>52008</v>
      </c>
      <c r="M60" s="103"/>
      <c r="N60" s="13">
        <v>1.96</v>
      </c>
      <c r="O60" s="13">
        <v>2.2000000000000002</v>
      </c>
      <c r="P60" s="13">
        <v>1.81</v>
      </c>
      <c r="Q60" s="13">
        <v>157.63040000000001</v>
      </c>
      <c r="R60" s="13"/>
    </row>
    <row r="61" spans="1:18" x14ac:dyDescent="0.25">
      <c r="A61" s="13">
        <v>56</v>
      </c>
      <c r="B61" s="14" t="s">
        <v>82</v>
      </c>
      <c r="C61" s="13" t="s">
        <v>36</v>
      </c>
      <c r="D61" s="13" t="s">
        <v>36</v>
      </c>
      <c r="E61" s="13" t="s">
        <v>26</v>
      </c>
      <c r="F61" s="13"/>
      <c r="G61" s="13"/>
      <c r="H61" s="13">
        <v>3</v>
      </c>
      <c r="I61" s="66">
        <f t="shared" si="3"/>
        <v>3</v>
      </c>
      <c r="J61" s="15">
        <f t="shared" si="4"/>
        <v>603.72443200000009</v>
      </c>
      <c r="K61" s="15">
        <f t="shared" si="5"/>
        <v>1811.1732960000004</v>
      </c>
      <c r="L61" s="13">
        <v>52009</v>
      </c>
      <c r="M61" s="103"/>
      <c r="N61" s="13">
        <v>3.42</v>
      </c>
      <c r="O61" s="13">
        <v>3.83</v>
      </c>
      <c r="P61" s="13">
        <v>2.06</v>
      </c>
      <c r="Q61" s="13">
        <v>157.63040000000001</v>
      </c>
      <c r="R61" s="13"/>
    </row>
    <row r="62" spans="1:18" x14ac:dyDescent="0.25">
      <c r="A62" s="13">
        <v>57</v>
      </c>
      <c r="B62" s="14" t="s">
        <v>83</v>
      </c>
      <c r="C62" s="13" t="s">
        <v>36</v>
      </c>
      <c r="D62" s="13" t="s">
        <v>36</v>
      </c>
      <c r="E62" s="13" t="s">
        <v>84</v>
      </c>
      <c r="F62" s="13"/>
      <c r="G62" s="13"/>
      <c r="H62" s="13">
        <v>1</v>
      </c>
      <c r="I62" s="66">
        <f t="shared" si="3"/>
        <v>1</v>
      </c>
      <c r="J62" s="15">
        <f t="shared" si="4"/>
        <v>3940.76</v>
      </c>
      <c r="K62" s="15">
        <f t="shared" si="5"/>
        <v>3940.76</v>
      </c>
      <c r="L62" s="13">
        <v>52009</v>
      </c>
      <c r="M62" s="103"/>
      <c r="N62" s="13">
        <v>22.33</v>
      </c>
      <c r="O62" s="13">
        <v>25</v>
      </c>
      <c r="P62" s="13">
        <v>20.58</v>
      </c>
      <c r="Q62" s="13">
        <v>157.63040000000001</v>
      </c>
      <c r="R62" s="13"/>
    </row>
    <row r="63" spans="1:18" x14ac:dyDescent="0.25">
      <c r="A63" s="13"/>
      <c r="B63" s="20" t="s">
        <v>85</v>
      </c>
      <c r="C63" s="13"/>
      <c r="D63" s="13"/>
      <c r="E63" s="13"/>
      <c r="F63" s="13"/>
      <c r="G63" s="13"/>
      <c r="H63" s="13"/>
      <c r="I63" s="66">
        <f t="shared" si="3"/>
        <v>0</v>
      </c>
      <c r="J63" s="15">
        <f t="shared" si="4"/>
        <v>0</v>
      </c>
      <c r="K63" s="15">
        <f t="shared" si="5"/>
        <v>0</v>
      </c>
      <c r="L63" s="13"/>
      <c r="M63" s="103"/>
      <c r="N63" s="13"/>
      <c r="O63" s="13"/>
      <c r="P63" s="13"/>
      <c r="Q63" s="13">
        <v>157.63040000000001</v>
      </c>
      <c r="R63" s="13"/>
    </row>
    <row r="64" spans="1:18" x14ac:dyDescent="0.25">
      <c r="A64" s="13"/>
      <c r="B64" s="20" t="s">
        <v>86</v>
      </c>
      <c r="C64" s="13"/>
      <c r="D64" s="13"/>
      <c r="E64" s="13"/>
      <c r="F64" s="13"/>
      <c r="G64" s="13"/>
      <c r="H64" s="13"/>
      <c r="I64" s="66">
        <f t="shared" si="3"/>
        <v>0</v>
      </c>
      <c r="J64" s="15">
        <f t="shared" si="4"/>
        <v>0</v>
      </c>
      <c r="K64" s="15">
        <f t="shared" si="5"/>
        <v>0</v>
      </c>
      <c r="L64" s="13"/>
      <c r="M64" s="103"/>
      <c r="N64" s="13"/>
      <c r="O64" s="13"/>
      <c r="P64" s="13"/>
      <c r="Q64" s="13">
        <v>157.63040000000001</v>
      </c>
      <c r="R64" s="13"/>
    </row>
    <row r="65" spans="1:18" x14ac:dyDescent="0.25">
      <c r="A65" s="13"/>
      <c r="B65" s="20" t="s">
        <v>87</v>
      </c>
      <c r="C65" s="13"/>
      <c r="D65" s="13"/>
      <c r="E65" s="13"/>
      <c r="F65" s="13"/>
      <c r="G65" s="13"/>
      <c r="H65" s="13"/>
      <c r="I65" s="66">
        <f t="shared" si="3"/>
        <v>0</v>
      </c>
      <c r="J65" s="15">
        <f t="shared" si="4"/>
        <v>0</v>
      </c>
      <c r="K65" s="15">
        <f t="shared" si="5"/>
        <v>0</v>
      </c>
      <c r="L65" s="13"/>
      <c r="M65" s="103"/>
      <c r="N65" s="13"/>
      <c r="O65" s="13"/>
      <c r="P65" s="13"/>
      <c r="Q65" s="13">
        <v>157.63040000000001</v>
      </c>
      <c r="R65" s="13"/>
    </row>
    <row r="66" spans="1:18" x14ac:dyDescent="0.25">
      <c r="A66" s="13"/>
      <c r="B66" s="20" t="s">
        <v>88</v>
      </c>
      <c r="C66" s="13"/>
      <c r="D66" s="13"/>
      <c r="E66" s="13"/>
      <c r="F66" s="13"/>
      <c r="G66" s="13"/>
      <c r="H66" s="13"/>
      <c r="I66" s="66">
        <f t="shared" si="3"/>
        <v>0</v>
      </c>
      <c r="J66" s="15">
        <f t="shared" si="4"/>
        <v>0</v>
      </c>
      <c r="K66" s="15">
        <f t="shared" si="5"/>
        <v>0</v>
      </c>
      <c r="M66" s="103"/>
      <c r="N66" s="13"/>
      <c r="O66" s="13"/>
      <c r="P66" s="13"/>
      <c r="Q66" s="13">
        <v>157.63040000000001</v>
      </c>
      <c r="R66" s="13"/>
    </row>
    <row r="67" spans="1:18" x14ac:dyDescent="0.25">
      <c r="A67" s="13">
        <v>58</v>
      </c>
      <c r="B67" s="14" t="s">
        <v>89</v>
      </c>
      <c r="C67" s="13" t="s">
        <v>90</v>
      </c>
      <c r="D67" s="13" t="s">
        <v>31</v>
      </c>
      <c r="E67" s="13" t="s">
        <v>26</v>
      </c>
      <c r="F67" s="13"/>
      <c r="G67" s="13"/>
      <c r="H67" s="13">
        <v>2</v>
      </c>
      <c r="I67" s="66">
        <f t="shared" si="3"/>
        <v>2</v>
      </c>
      <c r="J67" s="15">
        <f t="shared" si="4"/>
        <v>1536.8964000000001</v>
      </c>
      <c r="K67" s="15">
        <f t="shared" si="5"/>
        <v>3073.7928000000002</v>
      </c>
      <c r="L67" s="13">
        <v>52009</v>
      </c>
      <c r="M67" s="103"/>
      <c r="N67" s="13">
        <v>8.7100000000000009</v>
      </c>
      <c r="O67" s="13">
        <v>9.75</v>
      </c>
      <c r="P67" s="13">
        <v>8.02</v>
      </c>
      <c r="Q67" s="13">
        <v>157.63040000000001</v>
      </c>
      <c r="R67" s="13"/>
    </row>
    <row r="68" spans="1:18" x14ac:dyDescent="0.25">
      <c r="A68" s="13">
        <v>59</v>
      </c>
      <c r="B68" s="14" t="s">
        <v>89</v>
      </c>
      <c r="C68" s="13" t="s">
        <v>91</v>
      </c>
      <c r="D68" s="13" t="s">
        <v>36</v>
      </c>
      <c r="E68" s="13" t="s">
        <v>26</v>
      </c>
      <c r="F68" s="13"/>
      <c r="G68" s="13"/>
      <c r="H68" s="13">
        <v>2</v>
      </c>
      <c r="I68" s="66">
        <f t="shared" si="3"/>
        <v>2</v>
      </c>
      <c r="J68" s="15">
        <f t="shared" si="4"/>
        <v>1536.8964000000001</v>
      </c>
      <c r="K68" s="15">
        <f t="shared" si="5"/>
        <v>3073.7928000000002</v>
      </c>
      <c r="L68" s="13">
        <v>52009</v>
      </c>
      <c r="M68" s="103"/>
      <c r="N68" s="13">
        <v>8.7100000000000009</v>
      </c>
      <c r="O68" s="13">
        <v>9.75</v>
      </c>
      <c r="P68" s="13">
        <v>8.02</v>
      </c>
      <c r="Q68" s="13">
        <v>157.63040000000001</v>
      </c>
      <c r="R68" s="13"/>
    </row>
    <row r="69" spans="1:18" x14ac:dyDescent="0.25">
      <c r="A69" s="13">
        <v>60</v>
      </c>
      <c r="B69" s="14" t="s">
        <v>89</v>
      </c>
      <c r="C69" s="13" t="s">
        <v>92</v>
      </c>
      <c r="D69" s="13" t="s">
        <v>36</v>
      </c>
      <c r="E69" s="13" t="s">
        <v>26</v>
      </c>
      <c r="F69" s="13"/>
      <c r="G69" s="13"/>
      <c r="H69" s="13">
        <v>2</v>
      </c>
      <c r="I69" s="66">
        <f t="shared" si="3"/>
        <v>2</v>
      </c>
      <c r="J69" s="15">
        <f t="shared" si="4"/>
        <v>1536.8964000000001</v>
      </c>
      <c r="K69" s="15">
        <f t="shared" si="5"/>
        <v>3073.7928000000002</v>
      </c>
      <c r="L69" s="13">
        <v>52009</v>
      </c>
      <c r="M69" s="103"/>
      <c r="N69" s="13">
        <v>8.7100000000000009</v>
      </c>
      <c r="O69" s="13">
        <v>9.75</v>
      </c>
      <c r="P69" s="13">
        <v>8.02</v>
      </c>
      <c r="Q69" s="13">
        <v>157.63040000000001</v>
      </c>
      <c r="R69" s="13"/>
    </row>
    <row r="70" spans="1:18" x14ac:dyDescent="0.25">
      <c r="A70" s="13">
        <v>61</v>
      </c>
      <c r="B70" s="14" t="s">
        <v>89</v>
      </c>
      <c r="C70" s="13" t="s">
        <v>93</v>
      </c>
      <c r="D70" s="13" t="s">
        <v>36</v>
      </c>
      <c r="E70" s="13" t="s">
        <v>26</v>
      </c>
      <c r="F70" s="13"/>
      <c r="G70" s="13"/>
      <c r="H70" s="13">
        <v>2</v>
      </c>
      <c r="I70" s="66">
        <f t="shared" ref="I70:I101" si="6">SUM(F70:H70)</f>
        <v>2</v>
      </c>
      <c r="J70" s="15">
        <f t="shared" ref="J70:J101" si="7">O70*Q70</f>
        <v>1536.8964000000001</v>
      </c>
      <c r="K70" s="15">
        <f t="shared" ref="K70:K101" si="8">J70*I70</f>
        <v>3073.7928000000002</v>
      </c>
      <c r="L70" s="13">
        <v>52009</v>
      </c>
      <c r="M70" s="103"/>
      <c r="N70" s="13">
        <v>8.7100000000000009</v>
      </c>
      <c r="O70" s="13">
        <v>9.75</v>
      </c>
      <c r="P70" s="13">
        <v>8.02</v>
      </c>
      <c r="Q70" s="13">
        <v>157.63040000000001</v>
      </c>
      <c r="R70" s="13"/>
    </row>
    <row r="71" spans="1:18" x14ac:dyDescent="0.25">
      <c r="A71" s="13">
        <v>62</v>
      </c>
      <c r="B71" s="14" t="s">
        <v>89</v>
      </c>
      <c r="C71" s="16" t="s">
        <v>94</v>
      </c>
      <c r="D71" s="13" t="s">
        <v>31</v>
      </c>
      <c r="E71" s="13" t="s">
        <v>26</v>
      </c>
      <c r="F71" s="13"/>
      <c r="G71" s="13"/>
      <c r="H71" s="13">
        <v>1</v>
      </c>
      <c r="I71" s="66">
        <f t="shared" si="6"/>
        <v>1</v>
      </c>
      <c r="J71" s="15">
        <f t="shared" si="7"/>
        <v>1536.8964000000001</v>
      </c>
      <c r="K71" s="15">
        <f t="shared" si="8"/>
        <v>1536.8964000000001</v>
      </c>
      <c r="L71" s="13">
        <v>52009</v>
      </c>
      <c r="M71" s="103"/>
      <c r="N71" s="13">
        <v>8.7100000000000009</v>
      </c>
      <c r="O71" s="13">
        <v>9.75</v>
      </c>
      <c r="P71" s="13">
        <v>8.02</v>
      </c>
      <c r="Q71" s="13">
        <v>157.63040000000001</v>
      </c>
      <c r="R71" s="13"/>
    </row>
    <row r="72" spans="1:18" x14ac:dyDescent="0.25">
      <c r="A72" s="13">
        <v>63</v>
      </c>
      <c r="B72" s="14" t="s">
        <v>89</v>
      </c>
      <c r="C72" s="13" t="s">
        <v>95</v>
      </c>
      <c r="D72" s="13" t="s">
        <v>36</v>
      </c>
      <c r="E72" s="13" t="s">
        <v>26</v>
      </c>
      <c r="F72" s="13"/>
      <c r="G72" s="13"/>
      <c r="H72" s="13">
        <v>2</v>
      </c>
      <c r="I72" s="66">
        <f t="shared" si="6"/>
        <v>2</v>
      </c>
      <c r="J72" s="15">
        <f t="shared" si="7"/>
        <v>1536.8964000000001</v>
      </c>
      <c r="K72" s="15">
        <f t="shared" si="8"/>
        <v>3073.7928000000002</v>
      </c>
      <c r="L72" s="13">
        <v>52009</v>
      </c>
      <c r="M72" s="103"/>
      <c r="N72" s="13">
        <v>8.7100000000000009</v>
      </c>
      <c r="O72" s="13">
        <v>9.75</v>
      </c>
      <c r="P72" s="13">
        <v>8.02</v>
      </c>
      <c r="Q72" s="13">
        <v>157.63040000000001</v>
      </c>
      <c r="R72" s="13"/>
    </row>
    <row r="73" spans="1:18" x14ac:dyDescent="0.25">
      <c r="A73" s="13">
        <v>64</v>
      </c>
      <c r="B73" s="14" t="s">
        <v>89</v>
      </c>
      <c r="C73" s="13" t="s">
        <v>96</v>
      </c>
      <c r="D73" s="13" t="s">
        <v>31</v>
      </c>
      <c r="E73" s="13" t="s">
        <v>26</v>
      </c>
      <c r="F73" s="13"/>
      <c r="G73" s="13"/>
      <c r="H73" s="13">
        <v>2</v>
      </c>
      <c r="I73" s="66">
        <f t="shared" si="6"/>
        <v>2</v>
      </c>
      <c r="J73" s="15">
        <f t="shared" si="7"/>
        <v>1536.8964000000001</v>
      </c>
      <c r="K73" s="15">
        <f t="shared" si="8"/>
        <v>3073.7928000000002</v>
      </c>
      <c r="L73" s="13">
        <v>52010</v>
      </c>
      <c r="M73" s="103"/>
      <c r="N73" s="13">
        <v>8.7100000000000009</v>
      </c>
      <c r="O73" s="13">
        <v>9.75</v>
      </c>
      <c r="P73" s="13">
        <v>8.02</v>
      </c>
      <c r="Q73" s="13">
        <v>157.63040000000001</v>
      </c>
      <c r="R73" s="13"/>
    </row>
    <row r="74" spans="1:18" x14ac:dyDescent="0.25">
      <c r="A74" s="13">
        <v>65</v>
      </c>
      <c r="B74" s="14" t="s">
        <v>89</v>
      </c>
      <c r="C74" s="13" t="s">
        <v>97</v>
      </c>
      <c r="D74" s="13" t="s">
        <v>31</v>
      </c>
      <c r="E74" s="13" t="s">
        <v>26</v>
      </c>
      <c r="F74" s="13"/>
      <c r="G74" s="13"/>
      <c r="H74" s="13">
        <v>2</v>
      </c>
      <c r="I74" s="66">
        <f t="shared" si="6"/>
        <v>2</v>
      </c>
      <c r="J74" s="15">
        <f t="shared" si="7"/>
        <v>1536.8964000000001</v>
      </c>
      <c r="K74" s="15">
        <f t="shared" si="8"/>
        <v>3073.7928000000002</v>
      </c>
      <c r="L74" s="13">
        <v>52010</v>
      </c>
      <c r="M74" s="103"/>
      <c r="N74" s="13">
        <v>8.7100000000000009</v>
      </c>
      <c r="O74" s="13">
        <v>9.75</v>
      </c>
      <c r="P74" s="13">
        <v>8.02</v>
      </c>
      <c r="Q74" s="13">
        <v>157.63040000000001</v>
      </c>
      <c r="R74" s="13"/>
    </row>
    <row r="75" spans="1:18" x14ac:dyDescent="0.25">
      <c r="A75" s="13">
        <v>66</v>
      </c>
      <c r="B75" s="14" t="s">
        <v>89</v>
      </c>
      <c r="C75" s="13" t="s">
        <v>98</v>
      </c>
      <c r="D75" s="13" t="s">
        <v>36</v>
      </c>
      <c r="E75" s="13" t="s">
        <v>26</v>
      </c>
      <c r="F75" s="13"/>
      <c r="G75" s="13"/>
      <c r="H75" s="13">
        <v>1</v>
      </c>
      <c r="I75" s="66">
        <f t="shared" si="6"/>
        <v>1</v>
      </c>
      <c r="J75" s="15">
        <f t="shared" si="7"/>
        <v>1536.8964000000001</v>
      </c>
      <c r="K75" s="15">
        <f t="shared" si="8"/>
        <v>1536.8964000000001</v>
      </c>
      <c r="L75" s="13">
        <v>52010</v>
      </c>
      <c r="M75" s="103"/>
      <c r="N75" s="13">
        <v>8.7100000000000009</v>
      </c>
      <c r="O75" s="13">
        <v>9.75</v>
      </c>
      <c r="P75" s="13">
        <v>8.02</v>
      </c>
      <c r="Q75" s="13">
        <v>157.63040000000001</v>
      </c>
      <c r="R75" s="13"/>
    </row>
    <row r="76" spans="1:18" x14ac:dyDescent="0.25">
      <c r="A76" s="13">
        <v>67</v>
      </c>
      <c r="B76" s="14" t="s">
        <v>89</v>
      </c>
      <c r="C76" s="13" t="s">
        <v>99</v>
      </c>
      <c r="D76" s="13" t="s">
        <v>36</v>
      </c>
      <c r="E76" s="13" t="s">
        <v>26</v>
      </c>
      <c r="F76" s="13"/>
      <c r="G76" s="13"/>
      <c r="H76" s="13">
        <v>1</v>
      </c>
      <c r="I76" s="66">
        <f t="shared" si="6"/>
        <v>1</v>
      </c>
      <c r="J76" s="15">
        <f t="shared" si="7"/>
        <v>1536.8964000000001</v>
      </c>
      <c r="K76" s="15">
        <f t="shared" si="8"/>
        <v>1536.8964000000001</v>
      </c>
      <c r="L76" s="13">
        <v>52010</v>
      </c>
      <c r="M76" s="103"/>
      <c r="N76" s="13">
        <v>8.7100000000000009</v>
      </c>
      <c r="O76" s="13">
        <v>9.75</v>
      </c>
      <c r="P76" s="13">
        <v>8.02</v>
      </c>
      <c r="Q76" s="13">
        <v>157.63040000000001</v>
      </c>
      <c r="R76" s="13"/>
    </row>
    <row r="77" spans="1:18" x14ac:dyDescent="0.25">
      <c r="A77" s="13">
        <v>68</v>
      </c>
      <c r="B77" s="14" t="s">
        <v>89</v>
      </c>
      <c r="C77" s="13" t="s">
        <v>100</v>
      </c>
      <c r="D77" s="13" t="s">
        <v>36</v>
      </c>
      <c r="E77" s="13" t="s">
        <v>26</v>
      </c>
      <c r="F77" s="13"/>
      <c r="G77" s="13"/>
      <c r="H77" s="13">
        <v>1</v>
      </c>
      <c r="I77" s="66">
        <f t="shared" si="6"/>
        <v>1</v>
      </c>
      <c r="J77" s="15">
        <f t="shared" si="7"/>
        <v>1536.8964000000001</v>
      </c>
      <c r="K77" s="15">
        <f t="shared" si="8"/>
        <v>1536.8964000000001</v>
      </c>
      <c r="L77" s="13">
        <v>52010</v>
      </c>
      <c r="M77" s="103"/>
      <c r="N77" s="13">
        <v>8.7100000000000009</v>
      </c>
      <c r="O77" s="13">
        <v>9.75</v>
      </c>
      <c r="P77" s="13">
        <v>8.02</v>
      </c>
      <c r="Q77" s="13">
        <v>157.63040000000001</v>
      </c>
      <c r="R77" s="13"/>
    </row>
    <row r="78" spans="1:18" x14ac:dyDescent="0.25">
      <c r="A78" s="13">
        <v>69</v>
      </c>
      <c r="B78" s="14" t="s">
        <v>89</v>
      </c>
      <c r="C78" s="13" t="s">
        <v>101</v>
      </c>
      <c r="D78" s="13" t="s">
        <v>36</v>
      </c>
      <c r="E78" s="13" t="s">
        <v>26</v>
      </c>
      <c r="F78" s="13"/>
      <c r="G78" s="13"/>
      <c r="H78" s="13">
        <v>1</v>
      </c>
      <c r="I78" s="66">
        <f t="shared" si="6"/>
        <v>1</v>
      </c>
      <c r="J78" s="15">
        <f t="shared" si="7"/>
        <v>1536.8964000000001</v>
      </c>
      <c r="K78" s="15">
        <f t="shared" si="8"/>
        <v>1536.8964000000001</v>
      </c>
      <c r="L78" s="13">
        <v>52010</v>
      </c>
      <c r="M78" s="103"/>
      <c r="N78" s="13">
        <v>8.7100000000000009</v>
      </c>
      <c r="O78" s="13">
        <v>9.75</v>
      </c>
      <c r="P78" s="13">
        <v>8.02</v>
      </c>
      <c r="Q78" s="13">
        <v>157.63040000000001</v>
      </c>
      <c r="R78" s="13"/>
    </row>
    <row r="79" spans="1:18" x14ac:dyDescent="0.25">
      <c r="A79" s="13">
        <v>70</v>
      </c>
      <c r="B79" s="14" t="s">
        <v>89</v>
      </c>
      <c r="C79" s="13" t="s">
        <v>102</v>
      </c>
      <c r="D79" s="13" t="s">
        <v>36</v>
      </c>
      <c r="E79" s="13" t="s">
        <v>26</v>
      </c>
      <c r="F79" s="13"/>
      <c r="G79" s="13"/>
      <c r="H79" s="13">
        <v>1</v>
      </c>
      <c r="I79" s="66">
        <f t="shared" si="6"/>
        <v>1</v>
      </c>
      <c r="J79" s="15">
        <f t="shared" si="7"/>
        <v>1536.8964000000001</v>
      </c>
      <c r="K79" s="15">
        <f t="shared" si="8"/>
        <v>1536.8964000000001</v>
      </c>
      <c r="L79" s="13">
        <v>52010</v>
      </c>
      <c r="M79" s="103"/>
      <c r="N79" s="13">
        <v>8.7100000000000009</v>
      </c>
      <c r="O79" s="13">
        <v>9.75</v>
      </c>
      <c r="P79" s="13">
        <v>8.02</v>
      </c>
      <c r="Q79" s="13">
        <v>157.63040000000001</v>
      </c>
      <c r="R79" s="13"/>
    </row>
    <row r="80" spans="1:18" x14ac:dyDescent="0.25">
      <c r="A80" s="13">
        <v>71</v>
      </c>
      <c r="B80" s="14" t="s">
        <v>89</v>
      </c>
      <c r="C80" s="13" t="s">
        <v>103</v>
      </c>
      <c r="D80" s="13" t="s">
        <v>36</v>
      </c>
      <c r="E80" s="13" t="s">
        <v>26</v>
      </c>
      <c r="F80" s="13"/>
      <c r="G80" s="13"/>
      <c r="H80" s="13">
        <v>2</v>
      </c>
      <c r="I80" s="66">
        <f t="shared" si="6"/>
        <v>2</v>
      </c>
      <c r="J80" s="15">
        <f t="shared" si="7"/>
        <v>1536.8964000000001</v>
      </c>
      <c r="K80" s="15">
        <f t="shared" si="8"/>
        <v>3073.7928000000002</v>
      </c>
      <c r="L80" s="13">
        <v>52010</v>
      </c>
      <c r="M80" s="103"/>
      <c r="N80" s="13">
        <v>8.7100000000000009</v>
      </c>
      <c r="O80" s="13">
        <v>9.75</v>
      </c>
      <c r="P80" s="13">
        <v>8.02</v>
      </c>
      <c r="Q80" s="13">
        <v>157.63040000000001</v>
      </c>
      <c r="R80" s="13"/>
    </row>
    <row r="81" spans="1:18" x14ac:dyDescent="0.25">
      <c r="A81" s="13">
        <v>72</v>
      </c>
      <c r="B81" s="14" t="s">
        <v>89</v>
      </c>
      <c r="C81" s="13" t="s">
        <v>104</v>
      </c>
      <c r="D81" s="13" t="s">
        <v>36</v>
      </c>
      <c r="E81" s="13" t="s">
        <v>26</v>
      </c>
      <c r="F81" s="13"/>
      <c r="G81" s="13"/>
      <c r="H81" s="13">
        <v>1</v>
      </c>
      <c r="I81" s="66">
        <f t="shared" si="6"/>
        <v>1</v>
      </c>
      <c r="J81" s="15">
        <f t="shared" si="7"/>
        <v>1536.8964000000001</v>
      </c>
      <c r="K81" s="15">
        <f t="shared" si="8"/>
        <v>1536.8964000000001</v>
      </c>
      <c r="L81" s="13">
        <v>52010</v>
      </c>
      <c r="M81" s="103"/>
      <c r="N81" s="13">
        <v>8.7100000000000009</v>
      </c>
      <c r="O81" s="13">
        <v>9.75</v>
      </c>
      <c r="P81" s="13">
        <v>8.02</v>
      </c>
      <c r="Q81" s="13">
        <v>157.63040000000001</v>
      </c>
      <c r="R81" s="13"/>
    </row>
    <row r="82" spans="1:18" x14ac:dyDescent="0.25">
      <c r="A82" s="13">
        <v>73</v>
      </c>
      <c r="B82" s="14" t="s">
        <v>89</v>
      </c>
      <c r="C82" s="13" t="s">
        <v>105</v>
      </c>
      <c r="D82" s="13" t="s">
        <v>36</v>
      </c>
      <c r="E82" s="13" t="s">
        <v>26</v>
      </c>
      <c r="F82" s="13"/>
      <c r="G82" s="13"/>
      <c r="H82" s="13">
        <v>1</v>
      </c>
      <c r="I82" s="66">
        <f t="shared" si="6"/>
        <v>1</v>
      </c>
      <c r="J82" s="15">
        <f t="shared" si="7"/>
        <v>1536.8964000000001</v>
      </c>
      <c r="K82" s="15">
        <f t="shared" si="8"/>
        <v>1536.8964000000001</v>
      </c>
      <c r="L82" s="13">
        <v>52010</v>
      </c>
      <c r="M82" s="103"/>
      <c r="N82" s="13">
        <v>8.7100000000000009</v>
      </c>
      <c r="O82" s="13">
        <v>9.75</v>
      </c>
      <c r="P82" s="13">
        <v>8.02</v>
      </c>
      <c r="Q82" s="13">
        <v>157.63040000000001</v>
      </c>
      <c r="R82" s="13"/>
    </row>
    <row r="83" spans="1:18" x14ac:dyDescent="0.25">
      <c r="A83" s="13">
        <v>74</v>
      </c>
      <c r="B83" s="14" t="s">
        <v>89</v>
      </c>
      <c r="C83" s="13" t="s">
        <v>43</v>
      </c>
      <c r="D83" s="13" t="s">
        <v>36</v>
      </c>
      <c r="E83" s="13" t="s">
        <v>26</v>
      </c>
      <c r="F83" s="13"/>
      <c r="G83" s="13"/>
      <c r="H83" s="13">
        <v>1</v>
      </c>
      <c r="I83" s="66">
        <f t="shared" si="6"/>
        <v>1</v>
      </c>
      <c r="J83" s="15">
        <f t="shared" si="7"/>
        <v>1536.8964000000001</v>
      </c>
      <c r="K83" s="15">
        <f t="shared" si="8"/>
        <v>1536.8964000000001</v>
      </c>
      <c r="L83" s="13">
        <v>52010</v>
      </c>
      <c r="M83" s="103"/>
      <c r="N83" s="13">
        <v>8.7100000000000009</v>
      </c>
      <c r="O83" s="13">
        <v>9.75</v>
      </c>
      <c r="P83" s="13">
        <v>8.02</v>
      </c>
      <c r="Q83" s="13">
        <v>157.63040000000001</v>
      </c>
      <c r="R83" s="13"/>
    </row>
    <row r="84" spans="1:18" x14ac:dyDescent="0.25">
      <c r="A84" s="13">
        <v>75</v>
      </c>
      <c r="B84" s="14" t="s">
        <v>89</v>
      </c>
      <c r="C84" s="13" t="s">
        <v>106</v>
      </c>
      <c r="D84" s="13" t="s">
        <v>36</v>
      </c>
      <c r="E84" s="13" t="s">
        <v>26</v>
      </c>
      <c r="F84" s="13"/>
      <c r="G84" s="13"/>
      <c r="H84" s="13">
        <v>1</v>
      </c>
      <c r="I84" s="66">
        <f t="shared" si="6"/>
        <v>1</v>
      </c>
      <c r="J84" s="15">
        <f t="shared" si="7"/>
        <v>1536.8964000000001</v>
      </c>
      <c r="K84" s="15">
        <f t="shared" si="8"/>
        <v>1536.8964000000001</v>
      </c>
      <c r="L84" s="13">
        <v>52010</v>
      </c>
      <c r="M84" s="103"/>
      <c r="N84" s="13">
        <v>8.7100000000000009</v>
      </c>
      <c r="O84" s="13">
        <v>9.75</v>
      </c>
      <c r="P84" s="13">
        <v>8.02</v>
      </c>
      <c r="Q84" s="13">
        <v>157.63040000000001</v>
      </c>
      <c r="R84" s="13"/>
    </row>
    <row r="85" spans="1:18" x14ac:dyDescent="0.25">
      <c r="A85" s="13">
        <v>76</v>
      </c>
      <c r="B85" s="14" t="s">
        <v>89</v>
      </c>
      <c r="C85" s="13" t="s">
        <v>107</v>
      </c>
      <c r="D85" s="13" t="s">
        <v>36</v>
      </c>
      <c r="E85" s="13" t="s">
        <v>26</v>
      </c>
      <c r="F85" s="13"/>
      <c r="G85" s="13"/>
      <c r="H85" s="13">
        <v>1</v>
      </c>
      <c r="I85" s="66">
        <f t="shared" si="6"/>
        <v>1</v>
      </c>
      <c r="J85" s="15">
        <f t="shared" si="7"/>
        <v>1536.8964000000001</v>
      </c>
      <c r="K85" s="15">
        <f t="shared" si="8"/>
        <v>1536.8964000000001</v>
      </c>
      <c r="L85" s="13">
        <v>52010</v>
      </c>
      <c r="M85" s="103"/>
      <c r="N85" s="13">
        <v>8.7100000000000009</v>
      </c>
      <c r="O85" s="13">
        <v>9.75</v>
      </c>
      <c r="P85" s="13">
        <v>8.02</v>
      </c>
      <c r="Q85" s="13">
        <v>157.63040000000001</v>
      </c>
      <c r="R85" s="13"/>
    </row>
    <row r="86" spans="1:18" x14ac:dyDescent="0.25">
      <c r="A86" s="13">
        <v>77</v>
      </c>
      <c r="B86" s="14" t="s">
        <v>89</v>
      </c>
      <c r="C86" s="13" t="s">
        <v>108</v>
      </c>
      <c r="D86" s="13" t="s">
        <v>36</v>
      </c>
      <c r="E86" s="13" t="s">
        <v>26</v>
      </c>
      <c r="F86" s="13"/>
      <c r="G86" s="13"/>
      <c r="H86" s="13">
        <v>1</v>
      </c>
      <c r="I86" s="66">
        <f t="shared" si="6"/>
        <v>1</v>
      </c>
      <c r="J86" s="15">
        <f t="shared" si="7"/>
        <v>1536.8964000000001</v>
      </c>
      <c r="K86" s="15">
        <f t="shared" si="8"/>
        <v>1536.8964000000001</v>
      </c>
      <c r="L86" s="13">
        <v>52011</v>
      </c>
      <c r="M86" s="103"/>
      <c r="N86" s="13">
        <v>8.7100000000000009</v>
      </c>
      <c r="O86" s="13">
        <v>9.75</v>
      </c>
      <c r="P86" s="13">
        <v>8.02</v>
      </c>
      <c r="Q86" s="13">
        <v>157.63040000000001</v>
      </c>
      <c r="R86" s="13"/>
    </row>
    <row r="87" spans="1:18" x14ac:dyDescent="0.25">
      <c r="A87" s="13">
        <v>78</v>
      </c>
      <c r="B87" s="14" t="s">
        <v>89</v>
      </c>
      <c r="C87" s="13" t="s">
        <v>109</v>
      </c>
      <c r="D87" s="13" t="s">
        <v>36</v>
      </c>
      <c r="E87" s="13" t="s">
        <v>26</v>
      </c>
      <c r="F87" s="13"/>
      <c r="G87" s="13"/>
      <c r="H87" s="13">
        <v>1</v>
      </c>
      <c r="I87" s="66">
        <f t="shared" si="6"/>
        <v>1</v>
      </c>
      <c r="J87" s="15">
        <f t="shared" si="7"/>
        <v>1536.8964000000001</v>
      </c>
      <c r="K87" s="15">
        <f t="shared" si="8"/>
        <v>1536.8964000000001</v>
      </c>
      <c r="L87" s="13">
        <v>52011</v>
      </c>
      <c r="M87" s="104"/>
      <c r="N87" s="13">
        <v>8.7100000000000009</v>
      </c>
      <c r="O87" s="13">
        <v>9.75</v>
      </c>
      <c r="P87" s="13">
        <v>8.02</v>
      </c>
      <c r="Q87" s="13">
        <v>157.63040000000001</v>
      </c>
      <c r="R87" s="13"/>
    </row>
    <row r="88" spans="1:18" x14ac:dyDescent="0.25">
      <c r="A88" s="13">
        <v>79</v>
      </c>
      <c r="B88" s="14" t="s">
        <v>89</v>
      </c>
      <c r="C88" s="13" t="s">
        <v>110</v>
      </c>
      <c r="D88" s="13" t="s">
        <v>36</v>
      </c>
      <c r="E88" s="13" t="s">
        <v>26</v>
      </c>
      <c r="F88" s="13"/>
      <c r="G88" s="13"/>
      <c r="H88" s="13">
        <v>1</v>
      </c>
      <c r="I88" s="66">
        <f t="shared" si="6"/>
        <v>1</v>
      </c>
      <c r="J88" s="15">
        <f t="shared" si="7"/>
        <v>1536.8964000000001</v>
      </c>
      <c r="K88" s="15">
        <f t="shared" si="8"/>
        <v>1536.8964000000001</v>
      </c>
      <c r="L88" s="13">
        <v>52011</v>
      </c>
      <c r="M88" s="102" t="s">
        <v>705</v>
      </c>
      <c r="N88" s="13">
        <v>8.7100000000000009</v>
      </c>
      <c r="O88" s="13">
        <v>9.75</v>
      </c>
      <c r="P88" s="13">
        <v>8.02</v>
      </c>
      <c r="Q88" s="13">
        <v>157.63040000000001</v>
      </c>
      <c r="R88" s="13"/>
    </row>
    <row r="89" spans="1:18" x14ac:dyDescent="0.25">
      <c r="A89" s="13">
        <v>80</v>
      </c>
      <c r="B89" s="14" t="s">
        <v>89</v>
      </c>
      <c r="C89" s="13" t="s">
        <v>111</v>
      </c>
      <c r="D89" s="13" t="s">
        <v>36</v>
      </c>
      <c r="E89" s="13" t="s">
        <v>26</v>
      </c>
      <c r="F89" s="13"/>
      <c r="G89" s="13"/>
      <c r="H89" s="13">
        <v>1</v>
      </c>
      <c r="I89" s="66">
        <f t="shared" si="6"/>
        <v>1</v>
      </c>
      <c r="J89" s="15">
        <f t="shared" si="7"/>
        <v>1536.8964000000001</v>
      </c>
      <c r="K89" s="15">
        <f t="shared" si="8"/>
        <v>1536.8964000000001</v>
      </c>
      <c r="L89" s="13">
        <v>52011</v>
      </c>
      <c r="M89" s="103"/>
      <c r="N89" s="13">
        <v>8.7100000000000009</v>
      </c>
      <c r="O89" s="13">
        <v>9.75</v>
      </c>
      <c r="P89" s="13">
        <v>8.02</v>
      </c>
      <c r="Q89" s="13">
        <v>157.63040000000001</v>
      </c>
      <c r="R89" s="13"/>
    </row>
    <row r="90" spans="1:18" x14ac:dyDescent="0.25">
      <c r="A90" s="13">
        <v>81</v>
      </c>
      <c r="B90" s="14" t="s">
        <v>89</v>
      </c>
      <c r="C90" s="17">
        <v>3</v>
      </c>
      <c r="D90" s="13" t="s">
        <v>36</v>
      </c>
      <c r="E90" s="13" t="s">
        <v>26</v>
      </c>
      <c r="F90" s="13"/>
      <c r="G90" s="13"/>
      <c r="H90" s="13">
        <v>1</v>
      </c>
      <c r="I90" s="66">
        <f t="shared" si="6"/>
        <v>1</v>
      </c>
      <c r="J90" s="15">
        <f t="shared" si="7"/>
        <v>1536.8964000000001</v>
      </c>
      <c r="K90" s="15">
        <f t="shared" si="8"/>
        <v>1536.8964000000001</v>
      </c>
      <c r="L90" s="13">
        <v>52011</v>
      </c>
      <c r="M90" s="103"/>
      <c r="N90" s="13">
        <v>8.7100000000000009</v>
      </c>
      <c r="O90" s="13">
        <v>9.75</v>
      </c>
      <c r="P90" s="13">
        <v>8.02</v>
      </c>
      <c r="Q90" s="13">
        <v>157.63040000000001</v>
      </c>
      <c r="R90" s="13"/>
    </row>
    <row r="91" spans="1:18" x14ac:dyDescent="0.25">
      <c r="A91" s="13">
        <v>82</v>
      </c>
      <c r="B91" s="14" t="s">
        <v>89</v>
      </c>
      <c r="C91" s="13" t="s">
        <v>112</v>
      </c>
      <c r="D91" s="13" t="s">
        <v>36</v>
      </c>
      <c r="E91" s="13" t="s">
        <v>26</v>
      </c>
      <c r="F91" s="13"/>
      <c r="G91" s="13"/>
      <c r="H91" s="13">
        <v>1</v>
      </c>
      <c r="I91" s="66">
        <f t="shared" si="6"/>
        <v>1</v>
      </c>
      <c r="J91" s="15">
        <f t="shared" si="7"/>
        <v>1536.8964000000001</v>
      </c>
      <c r="K91" s="15">
        <f t="shared" si="8"/>
        <v>1536.8964000000001</v>
      </c>
      <c r="L91" s="13">
        <v>52011</v>
      </c>
      <c r="M91" s="103"/>
      <c r="N91" s="13">
        <v>8.7100000000000009</v>
      </c>
      <c r="O91" s="13">
        <v>9.75</v>
      </c>
      <c r="P91" s="13">
        <v>8.02</v>
      </c>
      <c r="Q91" s="13">
        <v>157.63040000000001</v>
      </c>
      <c r="R91" s="13"/>
    </row>
    <row r="92" spans="1:18" x14ac:dyDescent="0.25">
      <c r="A92" s="13">
        <v>83</v>
      </c>
      <c r="B92" s="14" t="s">
        <v>89</v>
      </c>
      <c r="C92" s="13" t="s">
        <v>113</v>
      </c>
      <c r="D92" s="13" t="s">
        <v>36</v>
      </c>
      <c r="E92" s="13" t="s">
        <v>26</v>
      </c>
      <c r="F92" s="13"/>
      <c r="G92" s="13"/>
      <c r="H92" s="13">
        <v>1</v>
      </c>
      <c r="I92" s="66">
        <f t="shared" si="6"/>
        <v>1</v>
      </c>
      <c r="J92" s="15">
        <f t="shared" si="7"/>
        <v>1536.8964000000001</v>
      </c>
      <c r="K92" s="15">
        <f t="shared" si="8"/>
        <v>1536.8964000000001</v>
      </c>
      <c r="L92" s="13">
        <v>52011</v>
      </c>
      <c r="M92" s="103"/>
      <c r="N92" s="13">
        <v>8.7100000000000009</v>
      </c>
      <c r="O92" s="13">
        <v>9.75</v>
      </c>
      <c r="P92" s="13">
        <v>8.02</v>
      </c>
      <c r="Q92" s="13">
        <v>157.63040000000001</v>
      </c>
      <c r="R92" s="13"/>
    </row>
    <row r="93" spans="1:18" x14ac:dyDescent="0.25">
      <c r="A93" s="13">
        <v>84</v>
      </c>
      <c r="B93" s="14" t="s">
        <v>89</v>
      </c>
      <c r="C93" s="13" t="s">
        <v>114</v>
      </c>
      <c r="D93" s="13" t="s">
        <v>31</v>
      </c>
      <c r="E93" s="13" t="s">
        <v>26</v>
      </c>
      <c r="F93" s="13"/>
      <c r="G93" s="13"/>
      <c r="H93" s="13">
        <v>1</v>
      </c>
      <c r="I93" s="66">
        <f t="shared" si="6"/>
        <v>1</v>
      </c>
      <c r="J93" s="15">
        <f t="shared" si="7"/>
        <v>1536.8964000000001</v>
      </c>
      <c r="K93" s="15">
        <f t="shared" si="8"/>
        <v>1536.8964000000001</v>
      </c>
      <c r="L93" s="13">
        <v>52011</v>
      </c>
      <c r="M93" s="103"/>
      <c r="N93" s="13">
        <v>8.7100000000000009</v>
      </c>
      <c r="O93" s="13">
        <v>9.75</v>
      </c>
      <c r="P93" s="13">
        <v>8.02</v>
      </c>
      <c r="Q93" s="13">
        <v>157.63040000000001</v>
      </c>
      <c r="R93" s="13"/>
    </row>
    <row r="94" spans="1:18" x14ac:dyDescent="0.25">
      <c r="A94" s="13">
        <v>85</v>
      </c>
      <c r="B94" s="14" t="s">
        <v>89</v>
      </c>
      <c r="C94" s="13" t="s">
        <v>115</v>
      </c>
      <c r="D94" s="13" t="s">
        <v>31</v>
      </c>
      <c r="E94" s="13" t="s">
        <v>26</v>
      </c>
      <c r="F94" s="13"/>
      <c r="G94" s="13"/>
      <c r="H94" s="13">
        <v>1</v>
      </c>
      <c r="I94" s="66">
        <f t="shared" si="6"/>
        <v>1</v>
      </c>
      <c r="J94" s="15">
        <f t="shared" si="7"/>
        <v>1536.8964000000001</v>
      </c>
      <c r="K94" s="15">
        <f t="shared" si="8"/>
        <v>1536.8964000000001</v>
      </c>
      <c r="L94" s="13">
        <v>52011</v>
      </c>
      <c r="M94" s="103"/>
      <c r="N94" s="13">
        <v>8.7100000000000009</v>
      </c>
      <c r="O94" s="13">
        <v>9.75</v>
      </c>
      <c r="P94" s="13">
        <v>8.02</v>
      </c>
      <c r="Q94" s="13">
        <v>157.63040000000001</v>
      </c>
      <c r="R94" s="13"/>
    </row>
    <row r="95" spans="1:18" x14ac:dyDescent="0.25">
      <c r="A95" s="13">
        <v>86</v>
      </c>
      <c r="B95" s="14" t="s">
        <v>89</v>
      </c>
      <c r="C95" s="13" t="s">
        <v>116</v>
      </c>
      <c r="D95" s="13" t="s">
        <v>31</v>
      </c>
      <c r="E95" s="13" t="s">
        <v>26</v>
      </c>
      <c r="F95" s="13"/>
      <c r="G95" s="13"/>
      <c r="H95" s="13">
        <v>1</v>
      </c>
      <c r="I95" s="66">
        <f t="shared" si="6"/>
        <v>1</v>
      </c>
      <c r="J95" s="15">
        <f t="shared" si="7"/>
        <v>1536.8964000000001</v>
      </c>
      <c r="K95" s="15">
        <f t="shared" si="8"/>
        <v>1536.8964000000001</v>
      </c>
      <c r="L95" s="13">
        <v>52011</v>
      </c>
      <c r="M95" s="103"/>
      <c r="N95" s="13">
        <v>8.7100000000000009</v>
      </c>
      <c r="O95" s="13">
        <v>9.75</v>
      </c>
      <c r="P95" s="13">
        <v>8.02</v>
      </c>
      <c r="Q95" s="13">
        <v>157.63040000000001</v>
      </c>
      <c r="R95" s="13"/>
    </row>
    <row r="96" spans="1:18" x14ac:dyDescent="0.25">
      <c r="A96" s="13">
        <v>87</v>
      </c>
      <c r="B96" s="14" t="s">
        <v>89</v>
      </c>
      <c r="C96" s="13" t="s">
        <v>43</v>
      </c>
      <c r="D96" s="13" t="s">
        <v>31</v>
      </c>
      <c r="E96" s="13" t="s">
        <v>26</v>
      </c>
      <c r="F96" s="13"/>
      <c r="G96" s="13"/>
      <c r="H96" s="13">
        <v>1</v>
      </c>
      <c r="I96" s="66">
        <f t="shared" si="6"/>
        <v>1</v>
      </c>
      <c r="J96" s="15">
        <f t="shared" si="7"/>
        <v>1536.8964000000001</v>
      </c>
      <c r="K96" s="15">
        <f t="shared" si="8"/>
        <v>1536.8964000000001</v>
      </c>
      <c r="L96" s="13">
        <v>52011</v>
      </c>
      <c r="M96" s="103"/>
      <c r="N96" s="13">
        <v>8.7100000000000009</v>
      </c>
      <c r="O96" s="13">
        <v>9.75</v>
      </c>
      <c r="P96" s="13">
        <v>8.02</v>
      </c>
      <c r="Q96" s="13">
        <v>157.63040000000001</v>
      </c>
      <c r="R96" s="13"/>
    </row>
    <row r="97" spans="1:18" x14ac:dyDescent="0.25">
      <c r="A97" s="13">
        <v>88</v>
      </c>
      <c r="B97" s="14" t="s">
        <v>89</v>
      </c>
      <c r="C97" s="13" t="s">
        <v>117</v>
      </c>
      <c r="D97" s="13" t="s">
        <v>31</v>
      </c>
      <c r="E97" s="13" t="s">
        <v>26</v>
      </c>
      <c r="F97" s="13"/>
      <c r="G97" s="13"/>
      <c r="H97" s="13">
        <v>2</v>
      </c>
      <c r="I97" s="66">
        <f t="shared" si="6"/>
        <v>2</v>
      </c>
      <c r="J97" s="15">
        <f t="shared" si="7"/>
        <v>1536.8964000000001</v>
      </c>
      <c r="K97" s="15">
        <f t="shared" si="8"/>
        <v>3073.7928000000002</v>
      </c>
      <c r="L97" s="13">
        <v>52011</v>
      </c>
      <c r="M97" s="103"/>
      <c r="N97" s="13">
        <v>8.7100000000000009</v>
      </c>
      <c r="O97" s="13">
        <v>9.75</v>
      </c>
      <c r="P97" s="13">
        <v>8.02</v>
      </c>
      <c r="Q97" s="13">
        <v>157.63040000000001</v>
      </c>
      <c r="R97" s="13"/>
    </row>
    <row r="98" spans="1:18" x14ac:dyDescent="0.25">
      <c r="A98" s="13">
        <v>89</v>
      </c>
      <c r="B98" s="14" t="s">
        <v>89</v>
      </c>
      <c r="C98" s="13" t="s">
        <v>118</v>
      </c>
      <c r="D98" s="13" t="s">
        <v>36</v>
      </c>
      <c r="E98" s="13" t="s">
        <v>26</v>
      </c>
      <c r="F98" s="13"/>
      <c r="G98" s="13"/>
      <c r="H98" s="13">
        <v>1</v>
      </c>
      <c r="I98" s="66">
        <f t="shared" si="6"/>
        <v>1</v>
      </c>
      <c r="J98" s="15">
        <f t="shared" si="7"/>
        <v>1536.8964000000001</v>
      </c>
      <c r="K98" s="15">
        <f t="shared" si="8"/>
        <v>1536.8964000000001</v>
      </c>
      <c r="L98" s="13">
        <v>52011</v>
      </c>
      <c r="M98" s="103"/>
      <c r="N98" s="13">
        <v>8.7100000000000009</v>
      </c>
      <c r="O98" s="13">
        <v>9.75</v>
      </c>
      <c r="P98" s="13">
        <v>8.02</v>
      </c>
      <c r="Q98" s="13">
        <v>157.63040000000001</v>
      </c>
      <c r="R98" s="13"/>
    </row>
    <row r="99" spans="1:18" x14ac:dyDescent="0.25">
      <c r="A99" s="13">
        <v>90</v>
      </c>
      <c r="B99" s="14" t="s">
        <v>89</v>
      </c>
      <c r="C99" s="13" t="s">
        <v>119</v>
      </c>
      <c r="D99" s="13" t="s">
        <v>120</v>
      </c>
      <c r="E99" s="13" t="s">
        <v>26</v>
      </c>
      <c r="F99" s="13"/>
      <c r="G99" s="13"/>
      <c r="H99" s="13">
        <v>1</v>
      </c>
      <c r="I99" s="66">
        <f t="shared" si="6"/>
        <v>1</v>
      </c>
      <c r="J99" s="15">
        <f t="shared" si="7"/>
        <v>1536.8964000000001</v>
      </c>
      <c r="K99" s="15">
        <f t="shared" si="8"/>
        <v>1536.8964000000001</v>
      </c>
      <c r="L99" s="13">
        <v>52012</v>
      </c>
      <c r="M99" s="103"/>
      <c r="N99" s="13">
        <v>8.7100000000000009</v>
      </c>
      <c r="O99" s="13">
        <v>9.75</v>
      </c>
      <c r="P99" s="13">
        <v>8.02</v>
      </c>
      <c r="Q99" s="13">
        <v>157.63040000000001</v>
      </c>
      <c r="R99" s="13"/>
    </row>
    <row r="100" spans="1:18" x14ac:dyDescent="0.25">
      <c r="A100" s="13">
        <v>91</v>
      </c>
      <c r="B100" s="14" t="s">
        <v>89</v>
      </c>
      <c r="C100" s="13" t="s">
        <v>121</v>
      </c>
      <c r="D100" s="13" t="s">
        <v>122</v>
      </c>
      <c r="E100" s="13" t="s">
        <v>26</v>
      </c>
      <c r="F100" s="13"/>
      <c r="G100" s="13"/>
      <c r="H100" s="13">
        <v>1</v>
      </c>
      <c r="I100" s="66">
        <f t="shared" si="6"/>
        <v>1</v>
      </c>
      <c r="J100" s="15">
        <f t="shared" si="7"/>
        <v>1536.8964000000001</v>
      </c>
      <c r="K100" s="15">
        <f t="shared" si="8"/>
        <v>1536.8964000000001</v>
      </c>
      <c r="L100" s="13">
        <v>52012</v>
      </c>
      <c r="M100" s="103"/>
      <c r="N100" s="13">
        <v>8.7100000000000009</v>
      </c>
      <c r="O100" s="13">
        <v>9.75</v>
      </c>
      <c r="P100" s="13">
        <v>8.02</v>
      </c>
      <c r="Q100" s="13">
        <v>157.63040000000001</v>
      </c>
      <c r="R100" s="13"/>
    </row>
    <row r="101" spans="1:18" x14ac:dyDescent="0.25">
      <c r="A101" s="13">
        <v>92</v>
      </c>
      <c r="B101" s="14" t="s">
        <v>89</v>
      </c>
      <c r="C101" s="13" t="s">
        <v>123</v>
      </c>
      <c r="D101" s="13" t="s">
        <v>36</v>
      </c>
      <c r="E101" s="13" t="s">
        <v>26</v>
      </c>
      <c r="F101" s="13"/>
      <c r="G101" s="13"/>
      <c r="H101" s="13">
        <v>11</v>
      </c>
      <c r="I101" s="66">
        <f t="shared" si="6"/>
        <v>11</v>
      </c>
      <c r="J101" s="15">
        <f t="shared" si="7"/>
        <v>1536.8964000000001</v>
      </c>
      <c r="K101" s="15">
        <f t="shared" si="8"/>
        <v>16905.860400000001</v>
      </c>
      <c r="L101" s="13">
        <v>52012</v>
      </c>
      <c r="M101" s="103"/>
      <c r="N101" s="13">
        <v>8.7100000000000009</v>
      </c>
      <c r="O101" s="13">
        <v>9.75</v>
      </c>
      <c r="P101" s="13">
        <v>8.02</v>
      </c>
      <c r="Q101" s="13">
        <v>157.63040000000001</v>
      </c>
      <c r="R101" s="13"/>
    </row>
    <row r="102" spans="1:18" x14ac:dyDescent="0.25">
      <c r="A102" s="13">
        <v>93</v>
      </c>
      <c r="B102" s="14" t="s">
        <v>89</v>
      </c>
      <c r="C102" s="13" t="s">
        <v>38</v>
      </c>
      <c r="D102" s="13" t="s">
        <v>36</v>
      </c>
      <c r="E102" s="13" t="s">
        <v>26</v>
      </c>
      <c r="F102" s="13"/>
      <c r="G102" s="13"/>
      <c r="H102" s="13">
        <v>4</v>
      </c>
      <c r="I102" s="66">
        <f t="shared" ref="I102:I122" si="9">SUM(F102:H102)</f>
        <v>4</v>
      </c>
      <c r="J102" s="15">
        <f t="shared" ref="J102:J122" si="10">O102*Q102</f>
        <v>1536.8964000000001</v>
      </c>
      <c r="K102" s="15">
        <f t="shared" ref="K102:K122" si="11">J102*I102</f>
        <v>6147.5856000000003</v>
      </c>
      <c r="L102" s="13">
        <v>52012</v>
      </c>
      <c r="M102" s="103"/>
      <c r="N102" s="13">
        <v>8.7100000000000009</v>
      </c>
      <c r="O102" s="13">
        <v>9.75</v>
      </c>
      <c r="P102" s="13">
        <v>8.02</v>
      </c>
      <c r="Q102" s="13">
        <v>157.63040000000001</v>
      </c>
      <c r="R102" s="13"/>
    </row>
    <row r="103" spans="1:18" x14ac:dyDescent="0.25">
      <c r="A103" s="13">
        <v>94</v>
      </c>
      <c r="B103" s="14" t="s">
        <v>89</v>
      </c>
      <c r="C103" s="13" t="s">
        <v>124</v>
      </c>
      <c r="D103" s="13" t="s">
        <v>36</v>
      </c>
      <c r="E103" s="13" t="s">
        <v>26</v>
      </c>
      <c r="F103" s="13"/>
      <c r="G103" s="13"/>
      <c r="H103" s="13">
        <v>3</v>
      </c>
      <c r="I103" s="66">
        <f t="shared" si="9"/>
        <v>3</v>
      </c>
      <c r="J103" s="15">
        <f t="shared" si="10"/>
        <v>1536.8964000000001</v>
      </c>
      <c r="K103" s="15">
        <f t="shared" si="11"/>
        <v>4610.6892000000007</v>
      </c>
      <c r="L103" s="13">
        <v>52012</v>
      </c>
      <c r="M103" s="103"/>
      <c r="N103" s="13">
        <v>8.7100000000000009</v>
      </c>
      <c r="O103" s="13">
        <v>9.75</v>
      </c>
      <c r="P103" s="13">
        <v>8.02</v>
      </c>
      <c r="Q103" s="13">
        <v>157.63040000000001</v>
      </c>
      <c r="R103" s="13"/>
    </row>
    <row r="104" spans="1:18" x14ac:dyDescent="0.25">
      <c r="A104" s="13">
        <v>95</v>
      </c>
      <c r="B104" s="14" t="s">
        <v>89</v>
      </c>
      <c r="C104" s="13" t="s">
        <v>125</v>
      </c>
      <c r="D104" s="13" t="s">
        <v>36</v>
      </c>
      <c r="E104" s="13" t="s">
        <v>26</v>
      </c>
      <c r="F104" s="13"/>
      <c r="G104" s="13"/>
      <c r="H104" s="13">
        <v>3</v>
      </c>
      <c r="I104" s="66">
        <f t="shared" si="9"/>
        <v>3</v>
      </c>
      <c r="J104" s="15">
        <f t="shared" si="10"/>
        <v>1536.8964000000001</v>
      </c>
      <c r="K104" s="15">
        <f t="shared" si="11"/>
        <v>4610.6892000000007</v>
      </c>
      <c r="L104" s="13">
        <v>52012</v>
      </c>
      <c r="M104" s="103"/>
      <c r="N104" s="13">
        <v>8.7100000000000009</v>
      </c>
      <c r="O104" s="13">
        <v>9.75</v>
      </c>
      <c r="P104" s="13">
        <v>8.02</v>
      </c>
      <c r="Q104" s="13">
        <v>157.63040000000001</v>
      </c>
      <c r="R104" s="13"/>
    </row>
    <row r="105" spans="1:18" x14ac:dyDescent="0.25">
      <c r="A105" s="13">
        <v>96</v>
      </c>
      <c r="B105" s="14" t="s">
        <v>89</v>
      </c>
      <c r="C105" s="13" t="s">
        <v>36</v>
      </c>
      <c r="D105" s="13" t="s">
        <v>36</v>
      </c>
      <c r="E105" s="13" t="s">
        <v>26</v>
      </c>
      <c r="F105" s="13"/>
      <c r="G105" s="13"/>
      <c r="H105" s="13">
        <v>12</v>
      </c>
      <c r="I105" s="66">
        <f t="shared" si="9"/>
        <v>12</v>
      </c>
      <c r="J105" s="15">
        <f t="shared" si="10"/>
        <v>1536.8964000000001</v>
      </c>
      <c r="K105" s="15">
        <f t="shared" si="11"/>
        <v>18442.756800000003</v>
      </c>
      <c r="L105" s="13">
        <v>52012</v>
      </c>
      <c r="M105" s="103"/>
      <c r="N105" s="13">
        <v>8.7100000000000009</v>
      </c>
      <c r="O105" s="13">
        <v>9.75</v>
      </c>
      <c r="P105" s="13">
        <v>8.02</v>
      </c>
      <c r="Q105" s="13">
        <v>157.63040000000001</v>
      </c>
      <c r="R105" s="13"/>
    </row>
    <row r="106" spans="1:18" x14ac:dyDescent="0.25">
      <c r="A106" s="13">
        <v>97</v>
      </c>
      <c r="B106" s="14" t="s">
        <v>89</v>
      </c>
      <c r="C106" s="13" t="s">
        <v>36</v>
      </c>
      <c r="D106" s="13" t="s">
        <v>31</v>
      </c>
      <c r="E106" s="13" t="s">
        <v>26</v>
      </c>
      <c r="F106" s="13"/>
      <c r="G106" s="13"/>
      <c r="H106" s="13">
        <v>60</v>
      </c>
      <c r="I106" s="66">
        <f t="shared" si="9"/>
        <v>60</v>
      </c>
      <c r="J106" s="15">
        <f t="shared" si="10"/>
        <v>1536.8964000000001</v>
      </c>
      <c r="K106" s="15">
        <f t="shared" si="11"/>
        <v>92213.784</v>
      </c>
      <c r="L106" s="13">
        <v>52012</v>
      </c>
      <c r="M106" s="103"/>
      <c r="N106" s="13">
        <v>8.7100000000000009</v>
      </c>
      <c r="O106" s="13">
        <v>9.75</v>
      </c>
      <c r="P106" s="13">
        <v>8.02</v>
      </c>
      <c r="Q106" s="13">
        <v>157.63040000000001</v>
      </c>
      <c r="R106" s="13"/>
    </row>
    <row r="107" spans="1:18" x14ac:dyDescent="0.25">
      <c r="A107" s="13">
        <v>98</v>
      </c>
      <c r="B107" s="14" t="s">
        <v>89</v>
      </c>
      <c r="C107" s="13" t="s">
        <v>117</v>
      </c>
      <c r="D107" s="13" t="s">
        <v>36</v>
      </c>
      <c r="E107" s="13" t="s">
        <v>26</v>
      </c>
      <c r="F107" s="13"/>
      <c r="G107" s="13"/>
      <c r="H107" s="13">
        <v>6</v>
      </c>
      <c r="I107" s="66">
        <f t="shared" si="9"/>
        <v>6</v>
      </c>
      <c r="J107" s="15">
        <f t="shared" si="10"/>
        <v>1536.8964000000001</v>
      </c>
      <c r="K107" s="15">
        <f t="shared" si="11"/>
        <v>9221.3784000000014</v>
      </c>
      <c r="L107" s="13">
        <v>52012</v>
      </c>
      <c r="M107" s="103"/>
      <c r="N107" s="13">
        <v>8.7100000000000009</v>
      </c>
      <c r="O107" s="13">
        <v>9.75</v>
      </c>
      <c r="P107" s="13">
        <v>8.02</v>
      </c>
      <c r="Q107" s="13">
        <v>157.63040000000001</v>
      </c>
      <c r="R107" s="13"/>
    </row>
    <row r="108" spans="1:18" x14ac:dyDescent="0.25">
      <c r="A108" s="13">
        <v>99</v>
      </c>
      <c r="B108" s="14" t="s">
        <v>89</v>
      </c>
      <c r="C108" s="13" t="s">
        <v>126</v>
      </c>
      <c r="D108" s="13" t="s">
        <v>36</v>
      </c>
      <c r="E108" s="13" t="s">
        <v>26</v>
      </c>
      <c r="F108" s="13"/>
      <c r="G108" s="13"/>
      <c r="H108" s="13">
        <v>12</v>
      </c>
      <c r="I108" s="66">
        <f t="shared" si="9"/>
        <v>12</v>
      </c>
      <c r="J108" s="15">
        <f t="shared" si="10"/>
        <v>1536.8964000000001</v>
      </c>
      <c r="K108" s="15">
        <f t="shared" si="11"/>
        <v>18442.756800000003</v>
      </c>
      <c r="L108" s="13">
        <v>52012</v>
      </c>
      <c r="M108" s="103"/>
      <c r="N108" s="13">
        <v>8.7100000000000009</v>
      </c>
      <c r="O108" s="13">
        <v>9.75</v>
      </c>
      <c r="P108" s="13">
        <v>8.02</v>
      </c>
      <c r="Q108" s="13">
        <v>157.63040000000001</v>
      </c>
      <c r="R108" s="13"/>
    </row>
    <row r="109" spans="1:18" x14ac:dyDescent="0.25">
      <c r="A109" s="13">
        <v>100</v>
      </c>
      <c r="B109" s="14" t="s">
        <v>89</v>
      </c>
      <c r="C109" s="13" t="s">
        <v>43</v>
      </c>
      <c r="D109" s="13" t="s">
        <v>36</v>
      </c>
      <c r="E109" s="13" t="s">
        <v>26</v>
      </c>
      <c r="F109" s="13"/>
      <c r="G109" s="13"/>
      <c r="H109" s="13">
        <v>17</v>
      </c>
      <c r="I109" s="66">
        <f t="shared" si="9"/>
        <v>17</v>
      </c>
      <c r="J109" s="15">
        <f t="shared" si="10"/>
        <v>1536.8964000000001</v>
      </c>
      <c r="K109" s="15">
        <f t="shared" si="11"/>
        <v>26127.238800000003</v>
      </c>
      <c r="L109" s="13">
        <v>52012</v>
      </c>
      <c r="M109" s="103"/>
      <c r="N109" s="13">
        <v>8.7100000000000009</v>
      </c>
      <c r="O109" s="13">
        <v>9.75</v>
      </c>
      <c r="P109" s="13">
        <v>8.02</v>
      </c>
      <c r="Q109" s="13">
        <v>157.63040000000001</v>
      </c>
      <c r="R109" s="13"/>
    </row>
    <row r="110" spans="1:18" x14ac:dyDescent="0.25">
      <c r="A110" s="13">
        <v>101</v>
      </c>
      <c r="B110" s="14" t="s">
        <v>89</v>
      </c>
      <c r="C110" s="13" t="s">
        <v>127</v>
      </c>
      <c r="D110" s="13" t="s">
        <v>31</v>
      </c>
      <c r="E110" s="13" t="s">
        <v>26</v>
      </c>
      <c r="F110" s="13"/>
      <c r="G110" s="13"/>
      <c r="H110" s="13">
        <v>13</v>
      </c>
      <c r="I110" s="66">
        <f t="shared" si="9"/>
        <v>13</v>
      </c>
      <c r="J110" s="15">
        <f t="shared" si="10"/>
        <v>1536.8964000000001</v>
      </c>
      <c r="K110" s="15">
        <f t="shared" si="11"/>
        <v>19979.653200000001</v>
      </c>
      <c r="L110" s="13">
        <v>52012</v>
      </c>
      <c r="M110" s="103"/>
      <c r="N110" s="13">
        <v>8.7100000000000009</v>
      </c>
      <c r="O110" s="13">
        <v>9.75</v>
      </c>
      <c r="P110" s="13">
        <v>8.02</v>
      </c>
      <c r="Q110" s="13">
        <v>157.63040000000001</v>
      </c>
      <c r="R110" s="13"/>
    </row>
    <row r="111" spans="1:18" x14ac:dyDescent="0.25">
      <c r="A111" s="13">
        <v>102</v>
      </c>
      <c r="B111" s="14" t="s">
        <v>89</v>
      </c>
      <c r="C111" s="13" t="s">
        <v>128</v>
      </c>
      <c r="D111" s="13" t="s">
        <v>36</v>
      </c>
      <c r="E111" s="13" t="s">
        <v>26</v>
      </c>
      <c r="F111" s="13"/>
      <c r="G111" s="13"/>
      <c r="H111" s="13">
        <v>5</v>
      </c>
      <c r="I111" s="66">
        <f t="shared" si="9"/>
        <v>5</v>
      </c>
      <c r="J111" s="15">
        <f t="shared" si="10"/>
        <v>1536.8964000000001</v>
      </c>
      <c r="K111" s="15">
        <f t="shared" si="11"/>
        <v>7684.482</v>
      </c>
      <c r="L111" s="13">
        <v>52012</v>
      </c>
      <c r="M111" s="103"/>
      <c r="N111" s="13">
        <v>8.7100000000000009</v>
      </c>
      <c r="O111" s="13">
        <v>9.75</v>
      </c>
      <c r="P111" s="13">
        <v>8.02</v>
      </c>
      <c r="Q111" s="13">
        <v>157.63040000000001</v>
      </c>
      <c r="R111" s="13"/>
    </row>
    <row r="112" spans="1:18" x14ac:dyDescent="0.25">
      <c r="A112" s="13">
        <v>103</v>
      </c>
      <c r="B112" s="14" t="s">
        <v>89</v>
      </c>
      <c r="C112" s="13" t="s">
        <v>129</v>
      </c>
      <c r="D112" s="13" t="s">
        <v>36</v>
      </c>
      <c r="E112" s="13" t="s">
        <v>26</v>
      </c>
      <c r="F112" s="13"/>
      <c r="G112" s="13"/>
      <c r="H112" s="13">
        <v>5</v>
      </c>
      <c r="I112" s="66">
        <f t="shared" si="9"/>
        <v>5</v>
      </c>
      <c r="J112" s="15">
        <f t="shared" si="10"/>
        <v>1536.8964000000001</v>
      </c>
      <c r="K112" s="15">
        <f t="shared" si="11"/>
        <v>7684.482</v>
      </c>
      <c r="L112" s="13">
        <v>52013</v>
      </c>
      <c r="M112" s="103"/>
      <c r="N112" s="13">
        <v>8.7100000000000009</v>
      </c>
      <c r="O112" s="13">
        <v>9.75</v>
      </c>
      <c r="P112" s="13">
        <v>8.02</v>
      </c>
      <c r="Q112" s="13">
        <v>157.63040000000001</v>
      </c>
      <c r="R112" s="13"/>
    </row>
    <row r="113" spans="1:18" x14ac:dyDescent="0.25">
      <c r="A113" s="13">
        <v>104</v>
      </c>
      <c r="B113" s="14" t="s">
        <v>89</v>
      </c>
      <c r="C113" s="13" t="s">
        <v>118</v>
      </c>
      <c r="D113" s="13" t="s">
        <v>31</v>
      </c>
      <c r="E113" s="13" t="s">
        <v>26</v>
      </c>
      <c r="F113" s="13"/>
      <c r="G113" s="13"/>
      <c r="H113" s="13">
        <v>6</v>
      </c>
      <c r="I113" s="66">
        <f t="shared" si="9"/>
        <v>6</v>
      </c>
      <c r="J113" s="15">
        <f t="shared" si="10"/>
        <v>1536.8964000000001</v>
      </c>
      <c r="K113" s="15">
        <f t="shared" si="11"/>
        <v>9221.3784000000014</v>
      </c>
      <c r="L113" s="13">
        <v>52013</v>
      </c>
      <c r="M113" s="103"/>
      <c r="N113" s="13">
        <v>8.7100000000000009</v>
      </c>
      <c r="O113" s="13">
        <v>9.75</v>
      </c>
      <c r="P113" s="13">
        <v>8.02</v>
      </c>
      <c r="Q113" s="13">
        <v>157.63040000000001</v>
      </c>
      <c r="R113" s="13"/>
    </row>
    <row r="114" spans="1:18" x14ac:dyDescent="0.25">
      <c r="A114" s="13">
        <v>105</v>
      </c>
      <c r="B114" s="14" t="s">
        <v>89</v>
      </c>
      <c r="C114" s="13" t="s">
        <v>130</v>
      </c>
      <c r="D114" s="13" t="s">
        <v>36</v>
      </c>
      <c r="E114" s="13" t="s">
        <v>26</v>
      </c>
      <c r="F114" s="13"/>
      <c r="G114" s="13"/>
      <c r="H114" s="13">
        <v>5</v>
      </c>
      <c r="I114" s="66">
        <f t="shared" si="9"/>
        <v>5</v>
      </c>
      <c r="J114" s="15">
        <f t="shared" si="10"/>
        <v>1536.8964000000001</v>
      </c>
      <c r="K114" s="15">
        <f t="shared" si="11"/>
        <v>7684.482</v>
      </c>
      <c r="L114" s="13">
        <v>52013</v>
      </c>
      <c r="M114" s="103"/>
      <c r="N114" s="13">
        <v>8.7100000000000009</v>
      </c>
      <c r="O114" s="13">
        <v>9.75</v>
      </c>
      <c r="P114" s="13">
        <v>8.02</v>
      </c>
      <c r="Q114" s="13">
        <v>157.63040000000001</v>
      </c>
      <c r="R114" s="13"/>
    </row>
    <row r="115" spans="1:18" x14ac:dyDescent="0.25">
      <c r="A115" s="13">
        <v>106</v>
      </c>
      <c r="B115" s="14" t="s">
        <v>89</v>
      </c>
      <c r="C115" s="13" t="s">
        <v>131</v>
      </c>
      <c r="D115" s="13" t="s">
        <v>36</v>
      </c>
      <c r="E115" s="13" t="s">
        <v>26</v>
      </c>
      <c r="F115" s="13"/>
      <c r="G115" s="13"/>
      <c r="H115" s="13">
        <v>6</v>
      </c>
      <c r="I115" s="66">
        <f t="shared" si="9"/>
        <v>6</v>
      </c>
      <c r="J115" s="15">
        <f t="shared" si="10"/>
        <v>1536.8964000000001</v>
      </c>
      <c r="K115" s="15">
        <f t="shared" si="11"/>
        <v>9221.3784000000014</v>
      </c>
      <c r="L115" s="13">
        <v>52013</v>
      </c>
      <c r="M115" s="103"/>
      <c r="N115" s="13">
        <v>8.7100000000000009</v>
      </c>
      <c r="O115" s="13">
        <v>9.75</v>
      </c>
      <c r="P115" s="13">
        <v>8.02</v>
      </c>
      <c r="Q115" s="13">
        <v>157.63040000000001</v>
      </c>
      <c r="R115" s="13"/>
    </row>
    <row r="116" spans="1:18" x14ac:dyDescent="0.25">
      <c r="A116" s="13">
        <v>107</v>
      </c>
      <c r="B116" s="14" t="s">
        <v>89</v>
      </c>
      <c r="C116" s="13" t="s">
        <v>43</v>
      </c>
      <c r="D116" s="13" t="s">
        <v>31</v>
      </c>
      <c r="E116" s="13" t="s">
        <v>26</v>
      </c>
      <c r="F116" s="13"/>
      <c r="G116" s="13"/>
      <c r="H116" s="13">
        <v>3</v>
      </c>
      <c r="I116" s="66">
        <f t="shared" si="9"/>
        <v>3</v>
      </c>
      <c r="J116" s="15">
        <f t="shared" si="10"/>
        <v>1536.8964000000001</v>
      </c>
      <c r="K116" s="15">
        <f t="shared" si="11"/>
        <v>4610.6892000000007</v>
      </c>
      <c r="L116" s="13">
        <v>52013</v>
      </c>
      <c r="M116" s="103"/>
      <c r="N116" s="13">
        <v>8.7100000000000009</v>
      </c>
      <c r="O116" s="13">
        <v>9.75</v>
      </c>
      <c r="P116" s="13">
        <v>8.02</v>
      </c>
      <c r="Q116" s="13">
        <v>157.63040000000001</v>
      </c>
      <c r="R116" s="13"/>
    </row>
    <row r="117" spans="1:18" x14ac:dyDescent="0.25">
      <c r="A117" s="13">
        <v>108</v>
      </c>
      <c r="B117" s="14" t="s">
        <v>132</v>
      </c>
      <c r="C117" s="13" t="s">
        <v>133</v>
      </c>
      <c r="D117" s="13" t="s">
        <v>134</v>
      </c>
      <c r="E117" s="13" t="s">
        <v>26</v>
      </c>
      <c r="F117" s="13"/>
      <c r="G117" s="13"/>
      <c r="H117" s="13">
        <v>5</v>
      </c>
      <c r="I117" s="66">
        <f t="shared" si="9"/>
        <v>5</v>
      </c>
      <c r="J117" s="15">
        <f t="shared" si="10"/>
        <v>1536.8964000000001</v>
      </c>
      <c r="K117" s="15">
        <f t="shared" si="11"/>
        <v>7684.482</v>
      </c>
      <c r="L117" s="13">
        <v>52013</v>
      </c>
      <c r="M117" s="103"/>
      <c r="N117" s="13">
        <v>8.7100000000000009</v>
      </c>
      <c r="O117" s="13">
        <v>9.75</v>
      </c>
      <c r="P117" s="13">
        <v>8.02</v>
      </c>
      <c r="Q117" s="13">
        <v>157.63040000000001</v>
      </c>
      <c r="R117" s="13"/>
    </row>
    <row r="118" spans="1:18" x14ac:dyDescent="0.25">
      <c r="A118" s="13">
        <v>109</v>
      </c>
      <c r="B118" s="14" t="s">
        <v>132</v>
      </c>
      <c r="C118" s="13" t="s">
        <v>42</v>
      </c>
      <c r="D118" s="13" t="s">
        <v>31</v>
      </c>
      <c r="E118" s="13" t="s">
        <v>26</v>
      </c>
      <c r="F118" s="13"/>
      <c r="G118" s="13"/>
      <c r="H118" s="13">
        <v>5</v>
      </c>
      <c r="I118" s="66">
        <f t="shared" si="9"/>
        <v>5</v>
      </c>
      <c r="J118" s="15">
        <f t="shared" si="10"/>
        <v>1536.8964000000001</v>
      </c>
      <c r="K118" s="15">
        <f t="shared" si="11"/>
        <v>7684.482</v>
      </c>
      <c r="L118" s="13">
        <v>52013</v>
      </c>
      <c r="M118" s="103"/>
      <c r="N118" s="13">
        <v>8.7100000000000009</v>
      </c>
      <c r="O118" s="13">
        <v>9.75</v>
      </c>
      <c r="P118" s="13">
        <v>8.02</v>
      </c>
      <c r="Q118" s="13">
        <v>157.63040000000001</v>
      </c>
      <c r="R118" s="13"/>
    </row>
    <row r="119" spans="1:18" x14ac:dyDescent="0.25">
      <c r="A119" s="13">
        <v>110</v>
      </c>
      <c r="B119" s="14" t="s">
        <v>132</v>
      </c>
      <c r="C119" s="13" t="s">
        <v>135</v>
      </c>
      <c r="D119" s="13" t="s">
        <v>31</v>
      </c>
      <c r="E119" s="13" t="s">
        <v>26</v>
      </c>
      <c r="F119" s="13"/>
      <c r="G119" s="13"/>
      <c r="H119" s="13">
        <v>30</v>
      </c>
      <c r="I119" s="66">
        <f t="shared" si="9"/>
        <v>30</v>
      </c>
      <c r="J119" s="15">
        <f t="shared" si="10"/>
        <v>1536.8964000000001</v>
      </c>
      <c r="K119" s="15">
        <f t="shared" si="11"/>
        <v>46106.892</v>
      </c>
      <c r="L119" s="13">
        <v>52013</v>
      </c>
      <c r="M119" s="103"/>
      <c r="N119" s="13">
        <v>8.7100000000000009</v>
      </c>
      <c r="O119" s="13">
        <v>9.75</v>
      </c>
      <c r="P119" s="13">
        <v>8.02</v>
      </c>
      <c r="Q119" s="13">
        <v>157.63040000000001</v>
      </c>
      <c r="R119" s="13"/>
    </row>
    <row r="120" spans="1:18" x14ac:dyDescent="0.25">
      <c r="A120" s="13">
        <v>111</v>
      </c>
      <c r="B120" s="14" t="s">
        <v>132</v>
      </c>
      <c r="C120" s="13" t="s">
        <v>136</v>
      </c>
      <c r="D120" s="13" t="s">
        <v>31</v>
      </c>
      <c r="E120" s="13" t="s">
        <v>26</v>
      </c>
      <c r="F120" s="13"/>
      <c r="G120" s="13"/>
      <c r="H120" s="13">
        <v>10</v>
      </c>
      <c r="I120" s="66">
        <f t="shared" si="9"/>
        <v>10</v>
      </c>
      <c r="J120" s="15">
        <f t="shared" si="10"/>
        <v>1536.8964000000001</v>
      </c>
      <c r="K120" s="15">
        <f t="shared" si="11"/>
        <v>15368.964</v>
      </c>
      <c r="L120" s="13">
        <v>52013</v>
      </c>
      <c r="M120" s="103"/>
      <c r="N120" s="13">
        <v>8.7100000000000009</v>
      </c>
      <c r="O120" s="13">
        <v>9.75</v>
      </c>
      <c r="P120" s="13">
        <v>8.02</v>
      </c>
      <c r="Q120" s="13">
        <v>157.63040000000001</v>
      </c>
      <c r="R120" s="13"/>
    </row>
    <row r="121" spans="1:18" x14ac:dyDescent="0.25">
      <c r="A121" s="13">
        <v>112</v>
      </c>
      <c r="B121" s="14" t="s">
        <v>132</v>
      </c>
      <c r="C121" s="13" t="s">
        <v>137</v>
      </c>
      <c r="D121" s="13" t="s">
        <v>31</v>
      </c>
      <c r="E121" s="13" t="s">
        <v>26</v>
      </c>
      <c r="F121" s="13"/>
      <c r="G121" s="13"/>
      <c r="H121" s="13">
        <v>7</v>
      </c>
      <c r="I121" s="66">
        <f t="shared" si="9"/>
        <v>7</v>
      </c>
      <c r="J121" s="15">
        <f t="shared" si="10"/>
        <v>1536.8964000000001</v>
      </c>
      <c r="K121" s="15">
        <f t="shared" si="11"/>
        <v>10758.274800000001</v>
      </c>
      <c r="L121" s="13">
        <v>52013</v>
      </c>
      <c r="M121" s="103"/>
      <c r="N121" s="13">
        <v>8.7100000000000009</v>
      </c>
      <c r="O121" s="13">
        <v>9.75</v>
      </c>
      <c r="P121" s="13">
        <v>8.02</v>
      </c>
      <c r="Q121" s="13">
        <v>157.63040000000001</v>
      </c>
      <c r="R121" s="13"/>
    </row>
    <row r="122" spans="1:18" x14ac:dyDescent="0.25">
      <c r="A122" s="13">
        <v>113</v>
      </c>
      <c r="B122" s="14" t="s">
        <v>132</v>
      </c>
      <c r="C122" s="13" t="s">
        <v>138</v>
      </c>
      <c r="D122" s="13" t="s">
        <v>31</v>
      </c>
      <c r="E122" s="13" t="s">
        <v>26</v>
      </c>
      <c r="F122" s="13"/>
      <c r="G122" s="13"/>
      <c r="H122" s="13">
        <v>4</v>
      </c>
      <c r="I122" s="66">
        <f t="shared" si="9"/>
        <v>4</v>
      </c>
      <c r="J122" s="15">
        <f t="shared" si="10"/>
        <v>1536.8964000000001</v>
      </c>
      <c r="K122" s="15">
        <f t="shared" si="11"/>
        <v>6147.5856000000003</v>
      </c>
      <c r="L122" s="13">
        <v>52013</v>
      </c>
      <c r="M122" s="103"/>
      <c r="N122" s="13">
        <v>8.7100000000000009</v>
      </c>
      <c r="O122" s="13">
        <v>9.75</v>
      </c>
      <c r="P122" s="13">
        <v>8.02</v>
      </c>
      <c r="Q122" s="13">
        <v>157.63040000000001</v>
      </c>
      <c r="R122" s="13"/>
    </row>
    <row r="123" spans="1:18" x14ac:dyDescent="0.25">
      <c r="A123" s="123" t="s">
        <v>5</v>
      </c>
      <c r="B123" s="123"/>
      <c r="C123" s="123"/>
      <c r="D123" s="123"/>
      <c r="E123" s="123"/>
      <c r="F123" s="123"/>
      <c r="G123" s="123"/>
      <c r="H123" s="123"/>
      <c r="I123" s="123"/>
      <c r="J123" s="123"/>
      <c r="K123" s="58">
        <f>SUM(K6:K122)</f>
        <v>1673713.2819839993</v>
      </c>
      <c r="L123" s="13"/>
      <c r="M123" s="103"/>
      <c r="N123" s="13"/>
      <c r="O123" s="13"/>
      <c r="P123" s="13"/>
      <c r="Q123" s="13"/>
      <c r="R123" s="13"/>
    </row>
    <row r="124" spans="1:18" x14ac:dyDescent="0.25">
      <c r="A124" s="123" t="s">
        <v>669</v>
      </c>
      <c r="B124" s="123"/>
      <c r="C124" s="123"/>
      <c r="D124" s="123"/>
      <c r="E124" s="123"/>
      <c r="F124" s="123"/>
      <c r="G124" s="123"/>
      <c r="H124" s="123"/>
      <c r="I124" s="123"/>
      <c r="J124" s="123"/>
      <c r="K124" s="13"/>
      <c r="L124" s="13"/>
      <c r="M124" s="104"/>
      <c r="N124" s="13"/>
      <c r="O124" s="13"/>
      <c r="P124" s="13"/>
      <c r="Q124" s="13"/>
      <c r="R124" s="13"/>
    </row>
    <row r="130" spans="1:18" x14ac:dyDescent="0.25">
      <c r="A130" s="132" t="s">
        <v>0</v>
      </c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137" t="s">
        <v>1</v>
      </c>
      <c r="M130" s="1"/>
      <c r="N130" s="1"/>
      <c r="O130" s="1"/>
      <c r="P130" s="1"/>
      <c r="Q130" s="134" t="s">
        <v>2</v>
      </c>
      <c r="R130" s="145" t="s">
        <v>3</v>
      </c>
    </row>
    <row r="131" spans="1:18" x14ac:dyDescent="0.25">
      <c r="A131" s="135" t="s">
        <v>139</v>
      </c>
      <c r="B131" s="135"/>
      <c r="C131" s="135"/>
      <c r="D131" s="135"/>
      <c r="E131" s="135"/>
      <c r="F131" s="135"/>
      <c r="G131" s="135"/>
      <c r="H131" s="135"/>
      <c r="I131" s="135"/>
      <c r="J131" s="2" t="s">
        <v>5</v>
      </c>
      <c r="K131" s="136" t="s">
        <v>6</v>
      </c>
      <c r="L131" s="137"/>
      <c r="M131" s="131" t="s">
        <v>7</v>
      </c>
      <c r="N131" s="3"/>
      <c r="O131" s="3"/>
      <c r="P131" s="4"/>
      <c r="Q131" s="134"/>
      <c r="R131" s="145"/>
    </row>
    <row r="132" spans="1:18" x14ac:dyDescent="0.25">
      <c r="A132" s="5"/>
      <c r="B132" s="146" t="s">
        <v>140</v>
      </c>
      <c r="C132" s="147"/>
      <c r="D132" s="147"/>
      <c r="E132" s="148"/>
      <c r="F132" s="143" t="s">
        <v>9</v>
      </c>
      <c r="G132" s="143"/>
      <c r="H132" s="143"/>
      <c r="I132" s="64"/>
      <c r="J132" s="136" t="s">
        <v>10</v>
      </c>
      <c r="K132" s="136"/>
      <c r="L132" s="137"/>
      <c r="M132" s="131"/>
      <c r="N132" s="144" t="s">
        <v>11</v>
      </c>
      <c r="O132" s="131" t="s">
        <v>12</v>
      </c>
      <c r="P132" s="131" t="s">
        <v>13</v>
      </c>
      <c r="Q132" s="134"/>
      <c r="R132" s="145"/>
    </row>
    <row r="133" spans="1:18" ht="26.25" x14ac:dyDescent="0.25">
      <c r="A133" s="5" t="s">
        <v>14</v>
      </c>
      <c r="B133" s="8" t="s">
        <v>15</v>
      </c>
      <c r="C133" s="8" t="s">
        <v>16</v>
      </c>
      <c r="D133" s="8" t="s">
        <v>17</v>
      </c>
      <c r="E133" s="9" t="s">
        <v>18</v>
      </c>
      <c r="F133" s="10" t="s">
        <v>19</v>
      </c>
      <c r="G133" s="11" t="s">
        <v>20</v>
      </c>
      <c r="H133" s="12" t="s">
        <v>21</v>
      </c>
      <c r="I133" s="65" t="s">
        <v>22</v>
      </c>
      <c r="J133" s="136"/>
      <c r="K133" s="136"/>
      <c r="L133" s="137"/>
      <c r="M133" s="131"/>
      <c r="N133" s="144"/>
      <c r="O133" s="131"/>
      <c r="P133" s="131"/>
      <c r="Q133" s="134"/>
      <c r="R133" s="145"/>
    </row>
    <row r="134" spans="1:18" x14ac:dyDescent="0.25">
      <c r="A134" s="13">
        <v>1</v>
      </c>
      <c r="B134" s="14" t="s">
        <v>141</v>
      </c>
      <c r="C134" s="13" t="s">
        <v>142</v>
      </c>
      <c r="D134" s="13" t="s">
        <v>31</v>
      </c>
      <c r="E134" s="13" t="s">
        <v>26</v>
      </c>
      <c r="F134" s="13"/>
      <c r="G134" s="13"/>
      <c r="H134" s="13">
        <v>2</v>
      </c>
      <c r="I134" s="66">
        <f t="shared" ref="I134:I160" si="12">SUM(F134:H134)</f>
        <v>2</v>
      </c>
      <c r="J134" s="15">
        <f t="shared" ref="J134:J160" si="13">O134*Q134</f>
        <v>1822.2074240000002</v>
      </c>
      <c r="K134" s="15">
        <f t="shared" ref="K134:K160" si="14">J134*I134</f>
        <v>3644.4148480000003</v>
      </c>
      <c r="L134" s="13">
        <v>101142</v>
      </c>
      <c r="M134" s="102" t="s">
        <v>676</v>
      </c>
      <c r="N134" s="13">
        <v>10.33</v>
      </c>
      <c r="O134" s="13">
        <v>11.56</v>
      </c>
      <c r="P134" s="13">
        <v>8.52</v>
      </c>
      <c r="Q134" s="13">
        <v>157.63040000000001</v>
      </c>
      <c r="R134" s="13"/>
    </row>
    <row r="135" spans="1:18" x14ac:dyDescent="0.25">
      <c r="A135" s="13">
        <v>2</v>
      </c>
      <c r="B135" s="14" t="s">
        <v>143</v>
      </c>
      <c r="C135" s="13" t="s">
        <v>144</v>
      </c>
      <c r="D135" s="13" t="s">
        <v>31</v>
      </c>
      <c r="E135" s="13" t="s">
        <v>26</v>
      </c>
      <c r="F135" s="13"/>
      <c r="G135" s="13"/>
      <c r="H135" s="13">
        <v>2</v>
      </c>
      <c r="I135" s="66">
        <f t="shared" si="12"/>
        <v>2</v>
      </c>
      <c r="J135" s="15">
        <f t="shared" si="13"/>
        <v>2457.4579360000002</v>
      </c>
      <c r="K135" s="15">
        <f t="shared" si="14"/>
        <v>4914.9158720000005</v>
      </c>
      <c r="L135" s="13">
        <v>101142</v>
      </c>
      <c r="M135" s="103"/>
      <c r="N135" s="13">
        <v>13.92</v>
      </c>
      <c r="O135" s="13">
        <v>15.59</v>
      </c>
      <c r="P135" s="13">
        <v>11.5</v>
      </c>
      <c r="Q135" s="13">
        <v>157.63040000000001</v>
      </c>
      <c r="R135" s="13"/>
    </row>
    <row r="136" spans="1:18" x14ac:dyDescent="0.25">
      <c r="A136" s="13">
        <v>3</v>
      </c>
      <c r="B136" s="14" t="s">
        <v>145</v>
      </c>
      <c r="C136" s="13" t="s">
        <v>146</v>
      </c>
      <c r="D136" s="13" t="s">
        <v>25</v>
      </c>
      <c r="E136" s="13" t="s">
        <v>26</v>
      </c>
      <c r="F136" s="13"/>
      <c r="G136" s="13"/>
      <c r="H136" s="13">
        <v>5</v>
      </c>
      <c r="I136" s="66">
        <f t="shared" si="12"/>
        <v>5</v>
      </c>
      <c r="J136" s="15">
        <f t="shared" si="13"/>
        <v>2224.1649440000001</v>
      </c>
      <c r="K136" s="15">
        <f t="shared" si="14"/>
        <v>11120.824720000001</v>
      </c>
      <c r="L136" s="13">
        <v>101147</v>
      </c>
      <c r="M136" s="103"/>
      <c r="N136" s="13">
        <v>12.6</v>
      </c>
      <c r="O136" s="13">
        <v>14.11</v>
      </c>
      <c r="P136" s="13">
        <v>10.4</v>
      </c>
      <c r="Q136" s="13">
        <v>157.63040000000001</v>
      </c>
      <c r="R136" s="13"/>
    </row>
    <row r="137" spans="1:18" x14ac:dyDescent="0.25">
      <c r="A137" s="13">
        <v>4</v>
      </c>
      <c r="B137" s="14" t="s">
        <v>147</v>
      </c>
      <c r="C137" s="13" t="s">
        <v>148</v>
      </c>
      <c r="D137" s="13" t="s">
        <v>25</v>
      </c>
      <c r="E137" s="13" t="s">
        <v>26</v>
      </c>
      <c r="F137" s="13"/>
      <c r="G137" s="13"/>
      <c r="H137" s="13">
        <v>4</v>
      </c>
      <c r="I137" s="66">
        <f t="shared" si="12"/>
        <v>4</v>
      </c>
      <c r="J137" s="15">
        <f t="shared" si="13"/>
        <v>2224.1649440000001</v>
      </c>
      <c r="K137" s="15">
        <f t="shared" si="14"/>
        <v>8896.6597760000004</v>
      </c>
      <c r="L137" s="13">
        <v>101147</v>
      </c>
      <c r="M137" s="103"/>
      <c r="N137" s="13">
        <v>12.6</v>
      </c>
      <c r="O137" s="13">
        <v>14.11</v>
      </c>
      <c r="P137" s="13">
        <v>10.4</v>
      </c>
      <c r="Q137" s="13">
        <v>157.63040000000001</v>
      </c>
      <c r="R137" s="13"/>
    </row>
    <row r="138" spans="1:18" x14ac:dyDescent="0.25">
      <c r="A138" s="13">
        <v>5</v>
      </c>
      <c r="B138" s="14" t="s">
        <v>149</v>
      </c>
      <c r="C138" s="13" t="s">
        <v>150</v>
      </c>
      <c r="D138" s="13" t="s">
        <v>25</v>
      </c>
      <c r="E138" s="13" t="s">
        <v>26</v>
      </c>
      <c r="F138" s="13"/>
      <c r="G138" s="13"/>
      <c r="H138" s="13">
        <v>7</v>
      </c>
      <c r="I138" s="66">
        <f t="shared" si="12"/>
        <v>7</v>
      </c>
      <c r="J138" s="15">
        <f t="shared" si="13"/>
        <v>2224.1649440000001</v>
      </c>
      <c r="K138" s="15">
        <f t="shared" si="14"/>
        <v>15569.154608000001</v>
      </c>
      <c r="L138" s="13">
        <v>101147</v>
      </c>
      <c r="M138" s="103"/>
      <c r="N138" s="13">
        <v>12.6</v>
      </c>
      <c r="O138" s="13">
        <v>14.11</v>
      </c>
      <c r="P138" s="13">
        <v>10.4</v>
      </c>
      <c r="Q138" s="13">
        <v>157.63040000000001</v>
      </c>
      <c r="R138" s="13"/>
    </row>
    <row r="139" spans="1:18" x14ac:dyDescent="0.25">
      <c r="A139" s="13">
        <v>6</v>
      </c>
      <c r="B139" s="14" t="s">
        <v>151</v>
      </c>
      <c r="C139" s="13" t="s">
        <v>148</v>
      </c>
      <c r="D139" s="13" t="s">
        <v>25</v>
      </c>
      <c r="E139" s="13" t="s">
        <v>26</v>
      </c>
      <c r="F139" s="13"/>
      <c r="G139" s="13"/>
      <c r="H139" s="13">
        <v>2</v>
      </c>
      <c r="I139" s="66">
        <f t="shared" si="12"/>
        <v>2</v>
      </c>
      <c r="J139" s="15">
        <f t="shared" si="13"/>
        <v>2224.1649440000001</v>
      </c>
      <c r="K139" s="15">
        <f t="shared" si="14"/>
        <v>4448.3298880000002</v>
      </c>
      <c r="L139" s="13">
        <v>101148</v>
      </c>
      <c r="M139" s="103"/>
      <c r="N139" s="13">
        <v>12.6</v>
      </c>
      <c r="O139" s="13">
        <v>14.11</v>
      </c>
      <c r="P139" s="13">
        <v>10.4</v>
      </c>
      <c r="Q139" s="13">
        <v>157.63040000000001</v>
      </c>
      <c r="R139" s="13"/>
    </row>
    <row r="140" spans="1:18" x14ac:dyDescent="0.25">
      <c r="A140" s="13">
        <v>7</v>
      </c>
      <c r="B140" s="14" t="s">
        <v>152</v>
      </c>
      <c r="C140" s="13" t="s">
        <v>148</v>
      </c>
      <c r="D140" s="13" t="s">
        <v>25</v>
      </c>
      <c r="E140" s="13" t="s">
        <v>26</v>
      </c>
      <c r="F140" s="13"/>
      <c r="G140" s="13"/>
      <c r="H140" s="13">
        <v>23</v>
      </c>
      <c r="I140" s="66">
        <f t="shared" si="12"/>
        <v>23</v>
      </c>
      <c r="J140" s="15">
        <f t="shared" si="13"/>
        <v>2471.6446719999999</v>
      </c>
      <c r="K140" s="15">
        <f t="shared" si="14"/>
        <v>56847.827455999999</v>
      </c>
      <c r="L140" s="13">
        <v>101148</v>
      </c>
      <c r="M140" s="103"/>
      <c r="N140" s="13">
        <v>14</v>
      </c>
      <c r="O140" s="13">
        <v>15.68</v>
      </c>
      <c r="P140" s="13">
        <v>11.56</v>
      </c>
      <c r="Q140" s="13">
        <v>157.63040000000001</v>
      </c>
      <c r="R140" s="13"/>
    </row>
    <row r="141" spans="1:18" x14ac:dyDescent="0.25">
      <c r="A141" s="13">
        <v>8</v>
      </c>
      <c r="B141" s="14" t="s">
        <v>153</v>
      </c>
      <c r="C141" s="13" t="s">
        <v>148</v>
      </c>
      <c r="D141" s="13" t="s">
        <v>25</v>
      </c>
      <c r="E141" s="13" t="s">
        <v>26</v>
      </c>
      <c r="F141" s="13"/>
      <c r="G141" s="13"/>
      <c r="H141" s="13">
        <v>2</v>
      </c>
      <c r="I141" s="66">
        <f t="shared" si="12"/>
        <v>2</v>
      </c>
      <c r="J141" s="15">
        <f t="shared" si="13"/>
        <v>2471.6446719999999</v>
      </c>
      <c r="K141" s="15">
        <f t="shared" si="14"/>
        <v>4943.2893439999998</v>
      </c>
      <c r="L141" s="13">
        <v>101148</v>
      </c>
      <c r="M141" s="103"/>
      <c r="N141" s="13">
        <v>14</v>
      </c>
      <c r="O141" s="13">
        <v>15.68</v>
      </c>
      <c r="P141" s="13">
        <v>11.56</v>
      </c>
      <c r="Q141" s="13">
        <v>157.63040000000001</v>
      </c>
      <c r="R141" s="13"/>
    </row>
    <row r="142" spans="1:18" x14ac:dyDescent="0.25">
      <c r="A142" s="13">
        <v>9</v>
      </c>
      <c r="B142" s="14" t="s">
        <v>154</v>
      </c>
      <c r="C142" s="13" t="s">
        <v>148</v>
      </c>
      <c r="D142" s="13" t="s">
        <v>25</v>
      </c>
      <c r="E142" s="13" t="s">
        <v>26</v>
      </c>
      <c r="F142" s="13"/>
      <c r="G142" s="13"/>
      <c r="H142" s="13">
        <v>2</v>
      </c>
      <c r="I142" s="66">
        <f t="shared" si="12"/>
        <v>2</v>
      </c>
      <c r="J142" s="15">
        <f t="shared" si="13"/>
        <v>2471.6446719999999</v>
      </c>
      <c r="K142" s="15">
        <f t="shared" si="14"/>
        <v>4943.2893439999998</v>
      </c>
      <c r="L142" s="13">
        <v>101148</v>
      </c>
      <c r="M142" s="103"/>
      <c r="N142" s="13">
        <v>14</v>
      </c>
      <c r="O142" s="13">
        <v>15.68</v>
      </c>
      <c r="P142" s="13">
        <v>11.56</v>
      </c>
      <c r="Q142" s="13">
        <v>157.63040000000001</v>
      </c>
      <c r="R142" s="13"/>
    </row>
    <row r="143" spans="1:18" x14ac:dyDescent="0.25">
      <c r="A143" s="13">
        <v>10</v>
      </c>
      <c r="B143" s="14" t="s">
        <v>155</v>
      </c>
      <c r="C143" s="13" t="s">
        <v>148</v>
      </c>
      <c r="D143" s="13" t="s">
        <v>25</v>
      </c>
      <c r="E143" s="13" t="s">
        <v>26</v>
      </c>
      <c r="F143" s="13"/>
      <c r="G143" s="13"/>
      <c r="H143" s="13">
        <v>1</v>
      </c>
      <c r="I143" s="66">
        <f t="shared" si="12"/>
        <v>1</v>
      </c>
      <c r="J143" s="15">
        <f t="shared" si="13"/>
        <v>2471.6446719999999</v>
      </c>
      <c r="K143" s="15">
        <f t="shared" si="14"/>
        <v>2471.6446719999999</v>
      </c>
      <c r="L143" s="13">
        <v>101148</v>
      </c>
      <c r="M143" s="103"/>
      <c r="N143" s="13">
        <v>14</v>
      </c>
      <c r="O143" s="13">
        <v>15.68</v>
      </c>
      <c r="P143" s="13">
        <v>11.56</v>
      </c>
      <c r="Q143" s="13">
        <v>157.63040000000001</v>
      </c>
      <c r="R143" s="13"/>
    </row>
    <row r="144" spans="1:18" x14ac:dyDescent="0.25">
      <c r="A144" s="13">
        <v>11</v>
      </c>
      <c r="B144" s="14" t="s">
        <v>156</v>
      </c>
      <c r="C144" s="13" t="s">
        <v>150</v>
      </c>
      <c r="D144" s="13" t="s">
        <v>25</v>
      </c>
      <c r="E144" s="13" t="s">
        <v>26</v>
      </c>
      <c r="F144" s="13"/>
      <c r="G144" s="13"/>
      <c r="H144" s="13">
        <v>1</v>
      </c>
      <c r="I144" s="66">
        <f t="shared" si="12"/>
        <v>1</v>
      </c>
      <c r="J144" s="15">
        <f t="shared" si="13"/>
        <v>2224.1649440000001</v>
      </c>
      <c r="K144" s="15">
        <f t="shared" si="14"/>
        <v>2224.1649440000001</v>
      </c>
      <c r="L144" s="13">
        <v>101148</v>
      </c>
      <c r="M144" s="103"/>
      <c r="N144" s="13">
        <v>12.6</v>
      </c>
      <c r="O144" s="13">
        <v>14.11</v>
      </c>
      <c r="P144" s="13">
        <v>10.4</v>
      </c>
      <c r="Q144" s="13">
        <v>157.63040000000001</v>
      </c>
      <c r="R144" s="13"/>
    </row>
    <row r="145" spans="1:18" x14ac:dyDescent="0.25">
      <c r="A145" s="13">
        <v>12</v>
      </c>
      <c r="B145" s="14" t="s">
        <v>157</v>
      </c>
      <c r="C145" s="13" t="s">
        <v>150</v>
      </c>
      <c r="D145" s="13" t="s">
        <v>25</v>
      </c>
      <c r="E145" s="13" t="s">
        <v>26</v>
      </c>
      <c r="F145" s="13"/>
      <c r="G145" s="13"/>
      <c r="H145" s="13">
        <v>1</v>
      </c>
      <c r="I145" s="66">
        <f t="shared" si="12"/>
        <v>1</v>
      </c>
      <c r="J145" s="15">
        <f t="shared" si="13"/>
        <v>2471.6446719999999</v>
      </c>
      <c r="K145" s="15">
        <f t="shared" si="14"/>
        <v>2471.6446719999999</v>
      </c>
      <c r="L145" s="13">
        <v>101148</v>
      </c>
      <c r="M145" s="103"/>
      <c r="N145" s="13">
        <v>14</v>
      </c>
      <c r="O145" s="13">
        <v>15.68</v>
      </c>
      <c r="P145" s="13">
        <v>11.56</v>
      </c>
      <c r="Q145" s="13">
        <v>157.63040000000001</v>
      </c>
      <c r="R145" s="13"/>
    </row>
    <row r="146" spans="1:18" x14ac:dyDescent="0.25">
      <c r="A146" s="13">
        <v>13</v>
      </c>
      <c r="B146" s="14" t="s">
        <v>158</v>
      </c>
      <c r="C146" s="13" t="s">
        <v>150</v>
      </c>
      <c r="D146" s="13" t="s">
        <v>25</v>
      </c>
      <c r="E146" s="13" t="s">
        <v>26</v>
      </c>
      <c r="F146" s="13"/>
      <c r="G146" s="13"/>
      <c r="H146" s="13">
        <v>2</v>
      </c>
      <c r="I146" s="66">
        <f t="shared" si="12"/>
        <v>2</v>
      </c>
      <c r="J146" s="15">
        <f t="shared" si="13"/>
        <v>2157.960176</v>
      </c>
      <c r="K146" s="15">
        <f t="shared" si="14"/>
        <v>4315.9203520000001</v>
      </c>
      <c r="L146" s="13">
        <v>101149</v>
      </c>
      <c r="M146" s="103"/>
      <c r="N146" s="13">
        <v>12.23</v>
      </c>
      <c r="O146" s="13">
        <v>13.69</v>
      </c>
      <c r="P146" s="13">
        <v>10.09</v>
      </c>
      <c r="Q146" s="13">
        <v>157.63040000000001</v>
      </c>
      <c r="R146" s="13"/>
    </row>
    <row r="147" spans="1:18" x14ac:dyDescent="0.25">
      <c r="A147" s="13">
        <v>14</v>
      </c>
      <c r="B147" s="14" t="s">
        <v>159</v>
      </c>
      <c r="C147" s="13" t="s">
        <v>148</v>
      </c>
      <c r="D147" s="13" t="s">
        <v>25</v>
      </c>
      <c r="E147" s="13" t="s">
        <v>26</v>
      </c>
      <c r="F147" s="13"/>
      <c r="G147" s="13"/>
      <c r="H147" s="13">
        <v>7</v>
      </c>
      <c r="I147" s="66">
        <f t="shared" si="12"/>
        <v>7</v>
      </c>
      <c r="J147" s="15">
        <f t="shared" si="13"/>
        <v>2648.1907200000001</v>
      </c>
      <c r="K147" s="15">
        <f t="shared" si="14"/>
        <v>18537.335040000002</v>
      </c>
      <c r="L147" s="13">
        <v>101149</v>
      </c>
      <c r="M147" s="103"/>
      <c r="N147" s="13">
        <v>15</v>
      </c>
      <c r="O147" s="13">
        <v>16.8</v>
      </c>
      <c r="P147" s="13">
        <v>12.39</v>
      </c>
      <c r="Q147" s="13">
        <v>157.63040000000001</v>
      </c>
      <c r="R147" s="13"/>
    </row>
    <row r="148" spans="1:18" ht="30" x14ac:dyDescent="0.25">
      <c r="A148" s="13">
        <v>15</v>
      </c>
      <c r="B148" s="14" t="s">
        <v>160</v>
      </c>
      <c r="C148" s="13" t="s">
        <v>161</v>
      </c>
      <c r="D148" s="13" t="s">
        <v>25</v>
      </c>
      <c r="E148" s="13" t="s">
        <v>26</v>
      </c>
      <c r="F148" s="13"/>
      <c r="G148" s="13"/>
      <c r="H148" s="13">
        <v>4</v>
      </c>
      <c r="I148" s="66">
        <f t="shared" si="12"/>
        <v>4</v>
      </c>
      <c r="J148" s="15">
        <f t="shared" si="13"/>
        <v>2157.960176</v>
      </c>
      <c r="K148" s="15">
        <f t="shared" si="14"/>
        <v>8631.8407040000002</v>
      </c>
      <c r="L148" s="13">
        <v>101149</v>
      </c>
      <c r="M148" s="103"/>
      <c r="N148" s="13">
        <v>12.23</v>
      </c>
      <c r="O148" s="13">
        <v>13.69</v>
      </c>
      <c r="P148" s="13">
        <v>10.09</v>
      </c>
      <c r="Q148" s="13">
        <v>157.63040000000001</v>
      </c>
      <c r="R148" s="13"/>
    </row>
    <row r="149" spans="1:18" x14ac:dyDescent="0.25">
      <c r="A149" s="13">
        <v>16</v>
      </c>
      <c r="B149" s="14" t="s">
        <v>162</v>
      </c>
      <c r="C149" s="13" t="s">
        <v>148</v>
      </c>
      <c r="D149" s="13" t="s">
        <v>25</v>
      </c>
      <c r="E149" s="13" t="s">
        <v>26</v>
      </c>
      <c r="F149" s="13"/>
      <c r="G149" s="13"/>
      <c r="H149" s="13">
        <v>1</v>
      </c>
      <c r="I149" s="66">
        <f t="shared" si="12"/>
        <v>1</v>
      </c>
      <c r="J149" s="15">
        <f t="shared" si="13"/>
        <v>1853.733504</v>
      </c>
      <c r="K149" s="15">
        <f t="shared" si="14"/>
        <v>1853.733504</v>
      </c>
      <c r="L149" s="13">
        <v>101149</v>
      </c>
      <c r="M149" s="103"/>
      <c r="N149" s="13">
        <v>10.5</v>
      </c>
      <c r="O149" s="13">
        <v>11.76</v>
      </c>
      <c r="P149" s="13">
        <v>8.67</v>
      </c>
      <c r="Q149" s="13">
        <v>157.63040000000001</v>
      </c>
      <c r="R149" s="13"/>
    </row>
    <row r="150" spans="1:18" x14ac:dyDescent="0.25">
      <c r="A150" s="13">
        <v>17</v>
      </c>
      <c r="B150" s="14" t="s">
        <v>163</v>
      </c>
      <c r="C150" s="13" t="s">
        <v>148</v>
      </c>
      <c r="D150" s="13" t="s">
        <v>25</v>
      </c>
      <c r="E150" s="13" t="s">
        <v>26</v>
      </c>
      <c r="F150" s="13"/>
      <c r="G150" s="13"/>
      <c r="H150" s="13">
        <v>1</v>
      </c>
      <c r="I150" s="66">
        <f t="shared" si="12"/>
        <v>1</v>
      </c>
      <c r="J150" s="15">
        <f t="shared" si="13"/>
        <v>2157.960176</v>
      </c>
      <c r="K150" s="15">
        <f t="shared" si="14"/>
        <v>2157.960176</v>
      </c>
      <c r="L150" s="13">
        <v>101149</v>
      </c>
      <c r="M150" s="103"/>
      <c r="N150" s="13">
        <v>12.23</v>
      </c>
      <c r="O150" s="13">
        <v>13.69</v>
      </c>
      <c r="P150" s="13">
        <v>10.09</v>
      </c>
      <c r="Q150" s="13">
        <v>157.63040000000001</v>
      </c>
      <c r="R150" s="13"/>
    </row>
    <row r="151" spans="1:18" x14ac:dyDescent="0.25">
      <c r="A151" s="13">
        <v>18</v>
      </c>
      <c r="B151" s="14" t="s">
        <v>165</v>
      </c>
      <c r="C151" s="13" t="s">
        <v>150</v>
      </c>
      <c r="D151" s="13" t="s">
        <v>25</v>
      </c>
      <c r="E151" s="13" t="s">
        <v>26</v>
      </c>
      <c r="F151" s="13"/>
      <c r="G151" s="13"/>
      <c r="H151" s="13">
        <v>2</v>
      </c>
      <c r="I151" s="66">
        <f t="shared" si="12"/>
        <v>2</v>
      </c>
      <c r="J151" s="15">
        <f t="shared" si="13"/>
        <v>2648.1907200000001</v>
      </c>
      <c r="K151" s="15">
        <f t="shared" si="14"/>
        <v>5296.3814400000001</v>
      </c>
      <c r="L151" s="13">
        <v>101150</v>
      </c>
      <c r="M151" s="103"/>
      <c r="N151" s="13">
        <v>15</v>
      </c>
      <c r="O151" s="13">
        <v>16.8</v>
      </c>
      <c r="P151" s="13">
        <v>12.39</v>
      </c>
      <c r="Q151" s="13">
        <v>157.63040000000001</v>
      </c>
      <c r="R151" s="13"/>
    </row>
    <row r="152" spans="1:18" x14ac:dyDescent="0.25">
      <c r="A152" s="13">
        <v>19</v>
      </c>
      <c r="B152" s="14" t="s">
        <v>166</v>
      </c>
      <c r="C152" s="13" t="s">
        <v>148</v>
      </c>
      <c r="D152" s="13" t="s">
        <v>25</v>
      </c>
      <c r="E152" s="13" t="s">
        <v>26</v>
      </c>
      <c r="F152" s="13"/>
      <c r="G152" s="13"/>
      <c r="H152" s="13">
        <v>1</v>
      </c>
      <c r="I152" s="66">
        <f t="shared" si="12"/>
        <v>1</v>
      </c>
      <c r="J152" s="15">
        <f t="shared" si="13"/>
        <v>2471.6446719999999</v>
      </c>
      <c r="K152" s="15">
        <f t="shared" si="14"/>
        <v>2471.6446719999999</v>
      </c>
      <c r="L152" s="13">
        <v>101150</v>
      </c>
      <c r="M152" s="103"/>
      <c r="N152" s="13">
        <v>14</v>
      </c>
      <c r="O152" s="13">
        <v>15.68</v>
      </c>
      <c r="P152" s="13">
        <v>11.56</v>
      </c>
      <c r="Q152" s="13">
        <v>157.63040000000001</v>
      </c>
      <c r="R152" s="13"/>
    </row>
    <row r="153" spans="1:18" x14ac:dyDescent="0.25">
      <c r="A153" s="13">
        <v>20</v>
      </c>
      <c r="B153" s="14" t="s">
        <v>167</v>
      </c>
      <c r="C153" s="13" t="s">
        <v>146</v>
      </c>
      <c r="D153" s="13" t="s">
        <v>25</v>
      </c>
      <c r="E153" s="13" t="s">
        <v>26</v>
      </c>
      <c r="F153" s="13"/>
      <c r="G153" s="13"/>
      <c r="H153" s="13">
        <v>2</v>
      </c>
      <c r="I153" s="66">
        <f t="shared" si="12"/>
        <v>2</v>
      </c>
      <c r="J153" s="15">
        <f t="shared" si="13"/>
        <v>2648.1907200000001</v>
      </c>
      <c r="K153" s="15">
        <f t="shared" si="14"/>
        <v>5296.3814400000001</v>
      </c>
      <c r="L153" s="13">
        <v>101150</v>
      </c>
      <c r="M153" s="103"/>
      <c r="N153" s="13">
        <v>15</v>
      </c>
      <c r="O153" s="13">
        <v>16.8</v>
      </c>
      <c r="P153" s="13">
        <v>12.39</v>
      </c>
      <c r="Q153" s="13">
        <v>157.63040000000001</v>
      </c>
      <c r="R153" s="13"/>
    </row>
    <row r="154" spans="1:18" x14ac:dyDescent="0.25">
      <c r="A154" s="13">
        <v>21</v>
      </c>
      <c r="B154" s="14" t="s">
        <v>168</v>
      </c>
      <c r="C154" s="13" t="s">
        <v>161</v>
      </c>
      <c r="D154" s="13" t="s">
        <v>25</v>
      </c>
      <c r="E154" s="13" t="s">
        <v>26</v>
      </c>
      <c r="F154" s="13"/>
      <c r="G154" s="13"/>
      <c r="H154" s="13">
        <v>1</v>
      </c>
      <c r="I154" s="66">
        <f t="shared" si="12"/>
        <v>1</v>
      </c>
      <c r="J154" s="15">
        <f t="shared" si="13"/>
        <v>2157.960176</v>
      </c>
      <c r="K154" s="15">
        <f t="shared" si="14"/>
        <v>2157.960176</v>
      </c>
      <c r="L154" s="13">
        <v>101150</v>
      </c>
      <c r="M154" s="103"/>
      <c r="N154" s="13">
        <v>12.23</v>
      </c>
      <c r="O154" s="13">
        <v>13.69</v>
      </c>
      <c r="P154" s="13">
        <v>10.09</v>
      </c>
      <c r="Q154" s="13">
        <v>157.63040000000001</v>
      </c>
      <c r="R154" s="13"/>
    </row>
    <row r="155" spans="1:18" ht="30" x14ac:dyDescent="0.25">
      <c r="A155" s="13">
        <v>22</v>
      </c>
      <c r="B155" s="14" t="s">
        <v>169</v>
      </c>
      <c r="C155" s="13" t="s">
        <v>146</v>
      </c>
      <c r="D155" s="13" t="s">
        <v>31</v>
      </c>
      <c r="E155" s="13" t="s">
        <v>26</v>
      </c>
      <c r="F155" s="13"/>
      <c r="G155" s="13"/>
      <c r="H155" s="13">
        <v>7</v>
      </c>
      <c r="I155" s="66">
        <f t="shared" si="12"/>
        <v>7</v>
      </c>
      <c r="J155" s="15">
        <f t="shared" si="13"/>
        <v>2224.1649440000001</v>
      </c>
      <c r="K155" s="15">
        <f t="shared" si="14"/>
        <v>15569.154608000001</v>
      </c>
      <c r="L155" s="13">
        <v>101150</v>
      </c>
      <c r="M155" s="103"/>
      <c r="N155" s="13">
        <v>12.6</v>
      </c>
      <c r="O155" s="13">
        <v>14.11</v>
      </c>
      <c r="P155" s="13">
        <v>10.4</v>
      </c>
      <c r="Q155" s="13">
        <v>157.63040000000001</v>
      </c>
      <c r="R155" s="13"/>
    </row>
    <row r="156" spans="1:18" ht="30" x14ac:dyDescent="0.25">
      <c r="A156" s="13">
        <v>23</v>
      </c>
      <c r="B156" s="14" t="s">
        <v>170</v>
      </c>
      <c r="C156" s="13" t="s">
        <v>171</v>
      </c>
      <c r="D156" s="13" t="s">
        <v>31</v>
      </c>
      <c r="E156" s="13" t="s">
        <v>26</v>
      </c>
      <c r="F156" s="13"/>
      <c r="G156" s="13"/>
      <c r="H156" s="13">
        <v>2</v>
      </c>
      <c r="I156" s="66">
        <f t="shared" si="12"/>
        <v>2</v>
      </c>
      <c r="J156" s="15">
        <f t="shared" si="13"/>
        <v>2224.1649440000001</v>
      </c>
      <c r="K156" s="15">
        <f t="shared" si="14"/>
        <v>4448.3298880000002</v>
      </c>
      <c r="L156" s="13">
        <v>101150</v>
      </c>
      <c r="M156" s="103"/>
      <c r="N156" s="13">
        <v>12.6</v>
      </c>
      <c r="O156" s="13">
        <v>14.11</v>
      </c>
      <c r="P156" s="13">
        <v>10.4</v>
      </c>
      <c r="Q156" s="13">
        <v>157.63040000000001</v>
      </c>
      <c r="R156" s="13"/>
    </row>
    <row r="157" spans="1:18" x14ac:dyDescent="0.25">
      <c r="A157" s="13">
        <v>24</v>
      </c>
      <c r="B157" s="14" t="s">
        <v>172</v>
      </c>
      <c r="C157" s="13" t="s">
        <v>173</v>
      </c>
      <c r="D157" s="13" t="s">
        <v>36</v>
      </c>
      <c r="E157" s="13" t="s">
        <v>26</v>
      </c>
      <c r="F157" s="13"/>
      <c r="G157" s="13"/>
      <c r="H157" s="13">
        <v>1</v>
      </c>
      <c r="I157" s="66">
        <f t="shared" si="12"/>
        <v>1</v>
      </c>
      <c r="J157" s="15">
        <f t="shared" si="13"/>
        <v>2791.6343840000004</v>
      </c>
      <c r="K157" s="15">
        <f t="shared" si="14"/>
        <v>2791.6343840000004</v>
      </c>
      <c r="L157" s="13">
        <v>52001</v>
      </c>
      <c r="M157" s="103"/>
      <c r="N157" s="13">
        <v>15.82</v>
      </c>
      <c r="O157" s="13">
        <v>17.71</v>
      </c>
      <c r="P157" s="13">
        <v>13.06</v>
      </c>
      <c r="Q157" s="13">
        <v>157.63040000000001</v>
      </c>
      <c r="R157" s="13"/>
    </row>
    <row r="158" spans="1:18" ht="30" x14ac:dyDescent="0.25">
      <c r="A158" s="13">
        <v>25</v>
      </c>
      <c r="B158" s="14" t="s">
        <v>174</v>
      </c>
      <c r="C158" s="13" t="s">
        <v>148</v>
      </c>
      <c r="D158" s="13" t="s">
        <v>25</v>
      </c>
      <c r="E158" s="13" t="s">
        <v>26</v>
      </c>
      <c r="F158" s="13"/>
      <c r="G158" s="13"/>
      <c r="H158" s="13">
        <v>1</v>
      </c>
      <c r="I158" s="66">
        <f t="shared" si="12"/>
        <v>1</v>
      </c>
      <c r="J158" s="15">
        <f t="shared" si="13"/>
        <v>2224.1649440000001</v>
      </c>
      <c r="K158" s="15">
        <f t="shared" si="14"/>
        <v>2224.1649440000001</v>
      </c>
      <c r="L158" s="13">
        <v>52001</v>
      </c>
      <c r="M158" s="103"/>
      <c r="N158" s="13">
        <v>12.6</v>
      </c>
      <c r="O158" s="13">
        <v>14.11</v>
      </c>
      <c r="P158" s="13">
        <v>10.4</v>
      </c>
      <c r="Q158" s="13">
        <v>157.63040000000001</v>
      </c>
      <c r="R158" s="13"/>
    </row>
    <row r="159" spans="1:18" x14ac:dyDescent="0.25">
      <c r="A159" s="13">
        <v>26</v>
      </c>
      <c r="B159" s="14" t="s">
        <v>175</v>
      </c>
      <c r="C159" s="13" t="s">
        <v>176</v>
      </c>
      <c r="D159" s="13" t="s">
        <v>36</v>
      </c>
      <c r="E159" s="13" t="s">
        <v>26</v>
      </c>
      <c r="F159" s="13"/>
      <c r="G159" s="13"/>
      <c r="H159" s="13">
        <v>1</v>
      </c>
      <c r="I159" s="66">
        <f t="shared" si="12"/>
        <v>1</v>
      </c>
      <c r="J159" s="15">
        <f t="shared" si="13"/>
        <v>2295.0986240000002</v>
      </c>
      <c r="K159" s="15">
        <f t="shared" si="14"/>
        <v>2295.0986240000002</v>
      </c>
      <c r="L159" s="13">
        <v>52001</v>
      </c>
      <c r="M159" s="103"/>
      <c r="N159" s="13">
        <v>13</v>
      </c>
      <c r="O159" s="13">
        <v>14.56</v>
      </c>
      <c r="P159" s="13">
        <v>10.74</v>
      </c>
      <c r="Q159" s="13">
        <v>157.63040000000001</v>
      </c>
      <c r="R159" s="13"/>
    </row>
    <row r="160" spans="1:18" x14ac:dyDescent="0.25">
      <c r="A160" s="13">
        <v>27</v>
      </c>
      <c r="B160" s="14" t="s">
        <v>177</v>
      </c>
      <c r="C160" s="13" t="s">
        <v>178</v>
      </c>
      <c r="D160" s="13" t="s">
        <v>36</v>
      </c>
      <c r="E160" s="13" t="s">
        <v>26</v>
      </c>
      <c r="F160" s="13"/>
      <c r="G160" s="13"/>
      <c r="H160" s="13">
        <v>1</v>
      </c>
      <c r="I160" s="66">
        <f t="shared" si="12"/>
        <v>1</v>
      </c>
      <c r="J160" s="15">
        <f t="shared" si="13"/>
        <v>2295.0986240000002</v>
      </c>
      <c r="K160" s="15">
        <f t="shared" si="14"/>
        <v>2295.0986240000002</v>
      </c>
      <c r="L160" s="13">
        <v>52001</v>
      </c>
      <c r="M160" s="103"/>
      <c r="N160" s="13">
        <v>13</v>
      </c>
      <c r="O160" s="13">
        <v>14.56</v>
      </c>
      <c r="P160" s="13">
        <v>10.74</v>
      </c>
      <c r="Q160" s="13">
        <v>157.63040000000001</v>
      </c>
      <c r="R160" s="13"/>
    </row>
    <row r="161" spans="1:18" x14ac:dyDescent="0.25">
      <c r="A161" s="123" t="s">
        <v>5</v>
      </c>
      <c r="B161" s="123"/>
      <c r="C161" s="123"/>
      <c r="D161" s="123"/>
      <c r="E161" s="123"/>
      <c r="F161" s="123"/>
      <c r="G161" s="123"/>
      <c r="H161" s="123"/>
      <c r="I161" s="123"/>
      <c r="J161" s="123"/>
      <c r="K161" s="58">
        <f>SUM(K134:K160)</f>
        <v>202838.79872000002</v>
      </c>
      <c r="L161" s="13"/>
      <c r="M161" s="103"/>
      <c r="N161" s="13"/>
      <c r="O161" s="13"/>
      <c r="P161" s="13"/>
      <c r="Q161" s="13"/>
      <c r="R161" s="13"/>
    </row>
    <row r="162" spans="1:18" x14ac:dyDescent="0.25">
      <c r="A162" s="123" t="s">
        <v>669</v>
      </c>
      <c r="B162" s="123"/>
      <c r="C162" s="123"/>
      <c r="D162" s="123"/>
      <c r="E162" s="123"/>
      <c r="F162" s="123"/>
      <c r="G162" s="123"/>
      <c r="H162" s="123"/>
      <c r="I162" s="123"/>
      <c r="J162" s="123"/>
      <c r="K162" s="13"/>
      <c r="L162" s="13"/>
      <c r="M162" s="104"/>
      <c r="N162" s="13"/>
      <c r="O162" s="13"/>
      <c r="P162" s="13"/>
      <c r="Q162" s="13"/>
      <c r="R162" s="13"/>
    </row>
    <row r="167" spans="1:18" x14ac:dyDescent="0.25">
      <c r="A167" s="132" t="s">
        <v>0</v>
      </c>
      <c r="B167" s="132"/>
      <c r="C167" s="132"/>
      <c r="D167" s="132"/>
      <c r="E167" s="132"/>
      <c r="F167" s="132"/>
      <c r="G167" s="132"/>
      <c r="H167" s="132"/>
      <c r="I167" s="132"/>
      <c r="J167" s="132"/>
      <c r="K167" s="132"/>
      <c r="L167" s="137" t="s">
        <v>1</v>
      </c>
      <c r="M167" s="1"/>
      <c r="N167" s="1"/>
      <c r="O167" s="1"/>
      <c r="P167" s="1"/>
      <c r="Q167" s="134" t="s">
        <v>2</v>
      </c>
      <c r="R167" s="139" t="s">
        <v>179</v>
      </c>
    </row>
    <row r="168" spans="1:18" x14ac:dyDescent="0.25">
      <c r="A168" s="135" t="s">
        <v>180</v>
      </c>
      <c r="B168" s="135"/>
      <c r="C168" s="135"/>
      <c r="D168" s="135"/>
      <c r="E168" s="135"/>
      <c r="F168" s="135"/>
      <c r="G168" s="135"/>
      <c r="H168" s="135"/>
      <c r="I168" s="135"/>
      <c r="J168" s="2" t="s">
        <v>5</v>
      </c>
      <c r="K168" s="136" t="s">
        <v>6</v>
      </c>
      <c r="L168" s="137"/>
      <c r="M168" s="131" t="s">
        <v>7</v>
      </c>
      <c r="N168" s="3"/>
      <c r="O168" s="3"/>
      <c r="P168" s="4"/>
      <c r="Q168" s="134"/>
      <c r="R168" s="140"/>
    </row>
    <row r="169" spans="1:18" x14ac:dyDescent="0.25">
      <c r="A169" s="5"/>
      <c r="B169" s="146" t="s">
        <v>8</v>
      </c>
      <c r="C169" s="147"/>
      <c r="D169" s="147"/>
      <c r="E169" s="148"/>
      <c r="F169" s="143" t="s">
        <v>9</v>
      </c>
      <c r="G169" s="143"/>
      <c r="H169" s="143"/>
      <c r="I169" s="64"/>
      <c r="J169" s="136" t="s">
        <v>10</v>
      </c>
      <c r="K169" s="136"/>
      <c r="L169" s="137"/>
      <c r="M169" s="131"/>
      <c r="N169" s="144" t="s">
        <v>11</v>
      </c>
      <c r="O169" s="131" t="s">
        <v>12</v>
      </c>
      <c r="P169" s="131" t="s">
        <v>13</v>
      </c>
      <c r="Q169" s="134"/>
      <c r="R169" s="140"/>
    </row>
    <row r="170" spans="1:18" ht="26.25" x14ac:dyDescent="0.25">
      <c r="A170" s="5" t="s">
        <v>14</v>
      </c>
      <c r="B170" s="8" t="s">
        <v>15</v>
      </c>
      <c r="C170" s="8" t="s">
        <v>16</v>
      </c>
      <c r="D170" s="8" t="s">
        <v>17</v>
      </c>
      <c r="E170" s="9" t="s">
        <v>18</v>
      </c>
      <c r="F170" s="10" t="s">
        <v>19</v>
      </c>
      <c r="G170" s="11" t="s">
        <v>20</v>
      </c>
      <c r="H170" s="12" t="s">
        <v>21</v>
      </c>
      <c r="I170" s="65" t="s">
        <v>22</v>
      </c>
      <c r="J170" s="136"/>
      <c r="K170" s="136"/>
      <c r="L170" s="137"/>
      <c r="M170" s="131"/>
      <c r="N170" s="144"/>
      <c r="O170" s="131"/>
      <c r="P170" s="131"/>
      <c r="Q170" s="134"/>
      <c r="R170" s="141"/>
    </row>
    <row r="171" spans="1:18" x14ac:dyDescent="0.25">
      <c r="A171" s="13">
        <v>1</v>
      </c>
      <c r="B171" s="13" t="s">
        <v>181</v>
      </c>
      <c r="C171" s="13" t="s">
        <v>182</v>
      </c>
      <c r="D171" s="13" t="s">
        <v>31</v>
      </c>
      <c r="E171" s="13" t="s">
        <v>26</v>
      </c>
      <c r="F171" s="13"/>
      <c r="G171" s="13"/>
      <c r="H171" s="13">
        <v>245</v>
      </c>
      <c r="I171" s="66">
        <f>SUM(F171:H171)</f>
        <v>245</v>
      </c>
      <c r="J171" s="15">
        <f t="shared" ref="J171:J185" si="15">O171*Q171</f>
        <v>846.47524800000008</v>
      </c>
      <c r="K171" s="15">
        <f t="shared" ref="K171:K185" si="16">J171*I171</f>
        <v>207386.43576000002</v>
      </c>
      <c r="L171" s="13">
        <v>101142</v>
      </c>
      <c r="M171" s="102" t="s">
        <v>677</v>
      </c>
      <c r="N171" s="13">
        <v>4.8</v>
      </c>
      <c r="O171" s="13">
        <v>5.37</v>
      </c>
      <c r="P171" s="13">
        <v>3.96</v>
      </c>
      <c r="Q171" s="13">
        <v>157.63040000000001</v>
      </c>
      <c r="R171" s="13"/>
    </row>
    <row r="172" spans="1:18" x14ac:dyDescent="0.25">
      <c r="A172" s="13">
        <v>2</v>
      </c>
      <c r="B172" s="13" t="s">
        <v>181</v>
      </c>
      <c r="C172" s="13" t="s">
        <v>183</v>
      </c>
      <c r="D172" s="13" t="s">
        <v>31</v>
      </c>
      <c r="E172" s="13" t="s">
        <v>26</v>
      </c>
      <c r="F172" s="13"/>
      <c r="G172" s="13"/>
      <c r="H172" s="13">
        <v>7</v>
      </c>
      <c r="I172" s="66">
        <f t="shared" ref="I172:I185" si="17">SUM(F172:H172)</f>
        <v>7</v>
      </c>
      <c r="J172" s="15">
        <f t="shared" si="15"/>
        <v>846.47524800000008</v>
      </c>
      <c r="K172" s="15">
        <f t="shared" si="16"/>
        <v>5925.3267360000009</v>
      </c>
      <c r="L172" s="13">
        <v>101142</v>
      </c>
      <c r="M172" s="103"/>
      <c r="N172" s="13">
        <v>4.8</v>
      </c>
      <c r="O172" s="13">
        <v>5.37</v>
      </c>
      <c r="P172" s="13">
        <v>3.96</v>
      </c>
      <c r="Q172" s="13">
        <v>157.63040000000001</v>
      </c>
      <c r="R172" s="13"/>
    </row>
    <row r="173" spans="1:18" x14ac:dyDescent="0.25">
      <c r="A173" s="13">
        <v>3</v>
      </c>
      <c r="B173" s="13" t="s">
        <v>181</v>
      </c>
      <c r="C173" s="13" t="s">
        <v>184</v>
      </c>
      <c r="D173" s="13" t="s">
        <v>31</v>
      </c>
      <c r="E173" s="13" t="s">
        <v>26</v>
      </c>
      <c r="F173" s="13"/>
      <c r="G173" s="13"/>
      <c r="H173" s="13">
        <v>17</v>
      </c>
      <c r="I173" s="66">
        <f t="shared" si="17"/>
        <v>17</v>
      </c>
      <c r="J173" s="15">
        <f t="shared" si="15"/>
        <v>846.47524800000008</v>
      </c>
      <c r="K173" s="15">
        <f t="shared" si="16"/>
        <v>14390.079216000002</v>
      </c>
      <c r="L173" s="13">
        <v>101142</v>
      </c>
      <c r="M173" s="103"/>
      <c r="N173" s="13">
        <v>4.8</v>
      </c>
      <c r="O173" s="13">
        <v>5.37</v>
      </c>
      <c r="P173" s="13">
        <v>3.96</v>
      </c>
      <c r="Q173" s="13">
        <v>157.63040000000001</v>
      </c>
      <c r="R173" s="13"/>
    </row>
    <row r="174" spans="1:18" x14ac:dyDescent="0.25">
      <c r="A174" s="13">
        <v>4</v>
      </c>
      <c r="B174" s="13" t="s">
        <v>181</v>
      </c>
      <c r="C174" s="13" t="s">
        <v>185</v>
      </c>
      <c r="D174" s="13" t="s">
        <v>31</v>
      </c>
      <c r="E174" s="13" t="s">
        <v>26</v>
      </c>
      <c r="F174" s="13"/>
      <c r="G174" s="13"/>
      <c r="H174" s="13">
        <v>1</v>
      </c>
      <c r="I174" s="66">
        <f t="shared" si="17"/>
        <v>1</v>
      </c>
      <c r="J174" s="15">
        <f t="shared" si="15"/>
        <v>846.47524800000008</v>
      </c>
      <c r="K174" s="15">
        <f t="shared" si="16"/>
        <v>846.47524800000008</v>
      </c>
      <c r="L174" s="13">
        <v>101142</v>
      </c>
      <c r="M174" s="103"/>
      <c r="N174" s="13">
        <v>4.8</v>
      </c>
      <c r="O174" s="13">
        <v>5.37</v>
      </c>
      <c r="P174" s="13">
        <v>3.96</v>
      </c>
      <c r="Q174" s="13">
        <v>157.63040000000001</v>
      </c>
      <c r="R174" s="13"/>
    </row>
    <row r="175" spans="1:18" x14ac:dyDescent="0.25">
      <c r="A175" s="13">
        <v>5</v>
      </c>
      <c r="B175" s="13" t="s">
        <v>181</v>
      </c>
      <c r="C175" s="13" t="s">
        <v>36</v>
      </c>
      <c r="D175" s="13" t="s">
        <v>31</v>
      </c>
      <c r="E175" s="13" t="s">
        <v>26</v>
      </c>
      <c r="F175" s="13"/>
      <c r="G175" s="13"/>
      <c r="H175" s="13">
        <v>16</v>
      </c>
      <c r="I175" s="66">
        <f t="shared" si="17"/>
        <v>16</v>
      </c>
      <c r="J175" s="15">
        <f t="shared" si="15"/>
        <v>846.47524800000008</v>
      </c>
      <c r="K175" s="15">
        <f t="shared" si="16"/>
        <v>13543.603968000001</v>
      </c>
      <c r="L175" s="13">
        <v>101142</v>
      </c>
      <c r="M175" s="103"/>
      <c r="N175" s="13">
        <v>4.8</v>
      </c>
      <c r="O175" s="13">
        <v>5.37</v>
      </c>
      <c r="P175" s="13">
        <v>3.96</v>
      </c>
      <c r="Q175" s="13">
        <v>157.63040000000001</v>
      </c>
      <c r="R175" s="13"/>
    </row>
    <row r="176" spans="1:18" x14ac:dyDescent="0.25">
      <c r="A176" s="13">
        <v>6</v>
      </c>
      <c r="B176" s="13" t="s">
        <v>181</v>
      </c>
      <c r="C176" s="13" t="s">
        <v>182</v>
      </c>
      <c r="D176" s="13" t="s">
        <v>31</v>
      </c>
      <c r="E176" s="13" t="s">
        <v>26</v>
      </c>
      <c r="F176" s="13"/>
      <c r="G176" s="13"/>
      <c r="H176" s="13">
        <v>1</v>
      </c>
      <c r="I176" s="66">
        <f t="shared" si="17"/>
        <v>1</v>
      </c>
      <c r="J176" s="15">
        <f t="shared" si="15"/>
        <v>846.47524800000008</v>
      </c>
      <c r="K176" s="15">
        <f t="shared" si="16"/>
        <v>846.47524800000008</v>
      </c>
      <c r="L176" s="13">
        <v>101142</v>
      </c>
      <c r="M176" s="103"/>
      <c r="N176" s="13">
        <v>4.8</v>
      </c>
      <c r="O176" s="13">
        <v>5.37</v>
      </c>
      <c r="P176" s="13">
        <v>3.96</v>
      </c>
      <c r="Q176" s="13">
        <v>157.63040000000001</v>
      </c>
      <c r="R176" s="13"/>
    </row>
    <row r="177" spans="1:19" x14ac:dyDescent="0.25">
      <c r="A177" s="13">
        <v>7</v>
      </c>
      <c r="B177" s="13" t="s">
        <v>181</v>
      </c>
      <c r="C177" s="13" t="s">
        <v>186</v>
      </c>
      <c r="D177" s="13" t="s">
        <v>31</v>
      </c>
      <c r="E177" s="13" t="s">
        <v>26</v>
      </c>
      <c r="F177" s="13"/>
      <c r="G177" s="13"/>
      <c r="H177" s="13">
        <v>2</v>
      </c>
      <c r="I177" s="66">
        <f t="shared" si="17"/>
        <v>2</v>
      </c>
      <c r="J177" s="15">
        <f t="shared" si="15"/>
        <v>846.47524800000008</v>
      </c>
      <c r="K177" s="15">
        <f t="shared" si="16"/>
        <v>1692.9504960000002</v>
      </c>
      <c r="L177" s="13">
        <v>101142</v>
      </c>
      <c r="M177" s="103"/>
      <c r="N177" s="13">
        <v>4.8</v>
      </c>
      <c r="O177" s="13">
        <v>5.37</v>
      </c>
      <c r="P177" s="13">
        <v>3.96</v>
      </c>
      <c r="Q177" s="13">
        <v>157.63040000000001</v>
      </c>
      <c r="R177" s="13"/>
    </row>
    <row r="178" spans="1:19" x14ac:dyDescent="0.25">
      <c r="A178" s="13">
        <v>8</v>
      </c>
      <c r="B178" s="13" t="s">
        <v>187</v>
      </c>
      <c r="C178" s="13" t="s">
        <v>182</v>
      </c>
      <c r="D178" s="13" t="s">
        <v>31</v>
      </c>
      <c r="E178" s="13" t="s">
        <v>26</v>
      </c>
      <c r="F178" s="13"/>
      <c r="G178" s="13"/>
      <c r="H178" s="13">
        <v>1</v>
      </c>
      <c r="I178" s="66">
        <f t="shared" si="17"/>
        <v>1</v>
      </c>
      <c r="J178" s="15">
        <f t="shared" si="15"/>
        <v>643.13203200000009</v>
      </c>
      <c r="K178" s="15">
        <f t="shared" si="16"/>
        <v>643.13203200000009</v>
      </c>
      <c r="L178" s="13">
        <v>101142</v>
      </c>
      <c r="M178" s="103"/>
      <c r="N178" s="13">
        <v>3.4</v>
      </c>
      <c r="O178" s="13">
        <v>4.08</v>
      </c>
      <c r="P178" s="13">
        <v>3.01</v>
      </c>
      <c r="Q178" s="13">
        <v>157.63040000000001</v>
      </c>
      <c r="R178" s="13"/>
    </row>
    <row r="179" spans="1:19" x14ac:dyDescent="0.25">
      <c r="A179" s="21">
        <v>9</v>
      </c>
      <c r="B179" s="21" t="s">
        <v>188</v>
      </c>
      <c r="C179" s="21" t="s">
        <v>189</v>
      </c>
      <c r="D179" s="21" t="s">
        <v>34</v>
      </c>
      <c r="E179" s="21" t="s">
        <v>84</v>
      </c>
      <c r="F179" s="21"/>
      <c r="G179" s="21"/>
      <c r="H179" s="21">
        <v>42</v>
      </c>
      <c r="I179" s="67">
        <f t="shared" si="17"/>
        <v>42</v>
      </c>
      <c r="J179" s="22">
        <f t="shared" si="15"/>
        <v>1402.91056</v>
      </c>
      <c r="K179" s="22">
        <f t="shared" si="16"/>
        <v>58922.243520000004</v>
      </c>
      <c r="L179" s="21">
        <v>101142</v>
      </c>
      <c r="M179" s="103"/>
      <c r="N179" s="21">
        <v>7.95</v>
      </c>
      <c r="O179" s="21">
        <v>8.9</v>
      </c>
      <c r="P179" s="21">
        <v>6.56</v>
      </c>
      <c r="Q179" s="21">
        <v>157.63040000000001</v>
      </c>
      <c r="R179" s="21" t="s">
        <v>190</v>
      </c>
    </row>
    <row r="180" spans="1:19" ht="30" x14ac:dyDescent="0.25">
      <c r="A180" s="52">
        <v>10</v>
      </c>
      <c r="B180" s="52" t="s">
        <v>191</v>
      </c>
      <c r="C180" s="52" t="s">
        <v>184</v>
      </c>
      <c r="D180" s="52" t="s">
        <v>36</v>
      </c>
      <c r="E180" s="52" t="s">
        <v>26</v>
      </c>
      <c r="F180" s="52"/>
      <c r="G180" s="52"/>
      <c r="H180" s="52">
        <v>14</v>
      </c>
      <c r="I180" s="68">
        <f t="shared" si="17"/>
        <v>14</v>
      </c>
      <c r="J180" s="53">
        <f t="shared" si="15"/>
        <v>5220.7188479999995</v>
      </c>
      <c r="K180" s="53">
        <f t="shared" si="16"/>
        <v>73090.063871999999</v>
      </c>
      <c r="L180" s="52">
        <v>101142</v>
      </c>
      <c r="M180" s="103"/>
      <c r="N180" s="52">
        <v>29.58</v>
      </c>
      <c r="O180" s="52">
        <v>33.119999999999997</v>
      </c>
      <c r="P180" s="52">
        <v>24.44</v>
      </c>
      <c r="Q180" s="52">
        <v>157.63040000000001</v>
      </c>
      <c r="R180" s="54" t="s">
        <v>192</v>
      </c>
    </row>
    <row r="181" spans="1:19" x14ac:dyDescent="0.25">
      <c r="A181" s="13">
        <v>11</v>
      </c>
      <c r="B181" s="13" t="s">
        <v>193</v>
      </c>
      <c r="C181" s="13" t="s">
        <v>194</v>
      </c>
      <c r="D181" s="13" t="s">
        <v>31</v>
      </c>
      <c r="E181" s="13" t="s">
        <v>26</v>
      </c>
      <c r="F181" s="13"/>
      <c r="G181" s="13"/>
      <c r="H181" s="13">
        <v>9</v>
      </c>
      <c r="I181" s="66">
        <f t="shared" si="17"/>
        <v>9</v>
      </c>
      <c r="J181" s="15">
        <f t="shared" si="15"/>
        <v>1831.665248</v>
      </c>
      <c r="K181" s="15">
        <f t="shared" si="16"/>
        <v>16484.987231999999</v>
      </c>
      <c r="L181" s="13">
        <v>101145</v>
      </c>
      <c r="M181" s="103"/>
      <c r="N181" s="13">
        <v>10.38</v>
      </c>
      <c r="O181" s="13">
        <v>11.62</v>
      </c>
      <c r="P181" s="13">
        <v>8.57</v>
      </c>
      <c r="Q181" s="13">
        <v>157.63040000000001</v>
      </c>
      <c r="R181" s="13"/>
    </row>
    <row r="182" spans="1:19" x14ac:dyDescent="0.25">
      <c r="A182" s="13">
        <v>12</v>
      </c>
      <c r="B182" s="13" t="s">
        <v>195</v>
      </c>
      <c r="C182" s="13" t="s">
        <v>194</v>
      </c>
      <c r="D182" s="13" t="s">
        <v>31</v>
      </c>
      <c r="E182" s="13" t="s">
        <v>26</v>
      </c>
      <c r="F182" s="13"/>
      <c r="G182" s="13"/>
      <c r="H182" s="13">
        <v>1</v>
      </c>
      <c r="I182" s="66">
        <f t="shared" si="17"/>
        <v>1</v>
      </c>
      <c r="J182" s="15">
        <f t="shared" si="15"/>
        <v>1535.3200960000001</v>
      </c>
      <c r="K182" s="15">
        <f t="shared" si="16"/>
        <v>1535.3200960000001</v>
      </c>
      <c r="L182" s="13">
        <v>101145</v>
      </c>
      <c r="M182" s="103"/>
      <c r="N182" s="13">
        <v>8.6999999999999993</v>
      </c>
      <c r="O182" s="13">
        <v>9.74</v>
      </c>
      <c r="P182" s="13">
        <v>7.18</v>
      </c>
      <c r="Q182" s="13">
        <v>157.63040000000001</v>
      </c>
      <c r="R182" s="13"/>
    </row>
    <row r="183" spans="1:19" x14ac:dyDescent="0.25">
      <c r="A183" s="13">
        <v>13</v>
      </c>
      <c r="B183" s="13" t="s">
        <v>196</v>
      </c>
      <c r="C183" s="13" t="s">
        <v>197</v>
      </c>
      <c r="D183" s="13" t="s">
        <v>34</v>
      </c>
      <c r="E183" s="13" t="s">
        <v>84</v>
      </c>
      <c r="F183" s="13"/>
      <c r="G183" s="13"/>
      <c r="H183" s="13">
        <v>1</v>
      </c>
      <c r="I183" s="66">
        <f t="shared" si="17"/>
        <v>1</v>
      </c>
      <c r="J183" s="15">
        <f t="shared" si="15"/>
        <v>3177.8288640000001</v>
      </c>
      <c r="K183" s="15">
        <f t="shared" si="16"/>
        <v>3177.8288640000001</v>
      </c>
      <c r="L183" s="13">
        <v>101145</v>
      </c>
      <c r="M183" s="103"/>
      <c r="N183" s="13">
        <v>18</v>
      </c>
      <c r="O183" s="13">
        <v>20.16</v>
      </c>
      <c r="P183" s="13">
        <v>14.87</v>
      </c>
      <c r="Q183" s="13">
        <v>157.63040000000001</v>
      </c>
      <c r="R183" s="13"/>
    </row>
    <row r="184" spans="1:19" x14ac:dyDescent="0.25">
      <c r="A184" s="13">
        <v>14</v>
      </c>
      <c r="B184" s="13" t="s">
        <v>198</v>
      </c>
      <c r="C184" s="13" t="s">
        <v>199</v>
      </c>
      <c r="D184" s="13" t="s">
        <v>31</v>
      </c>
      <c r="E184" s="13" t="s">
        <v>84</v>
      </c>
      <c r="F184" s="13"/>
      <c r="G184" s="13"/>
      <c r="H184" s="13">
        <v>1</v>
      </c>
      <c r="I184" s="66">
        <f t="shared" si="17"/>
        <v>1</v>
      </c>
      <c r="J184" s="15">
        <f t="shared" si="15"/>
        <v>6242.1638400000002</v>
      </c>
      <c r="K184" s="15">
        <f t="shared" si="16"/>
        <v>6242.1638400000002</v>
      </c>
      <c r="L184" s="13">
        <v>101145</v>
      </c>
      <c r="M184" s="103"/>
      <c r="N184" s="13">
        <v>35.36</v>
      </c>
      <c r="O184" s="13">
        <v>39.6</v>
      </c>
      <c r="P184" s="13">
        <v>29.21</v>
      </c>
      <c r="Q184" s="13">
        <v>157.63040000000001</v>
      </c>
      <c r="R184" s="13"/>
    </row>
    <row r="185" spans="1:19" x14ac:dyDescent="0.25">
      <c r="A185" s="13">
        <v>15</v>
      </c>
      <c r="B185" s="13" t="s">
        <v>200</v>
      </c>
      <c r="C185" s="13" t="s">
        <v>201</v>
      </c>
      <c r="D185" s="13" t="s">
        <v>34</v>
      </c>
      <c r="E185" s="13" t="s">
        <v>202</v>
      </c>
      <c r="F185" s="13"/>
      <c r="G185" s="13"/>
      <c r="H185" s="13">
        <v>30</v>
      </c>
      <c r="I185" s="66">
        <f t="shared" si="17"/>
        <v>30</v>
      </c>
      <c r="J185" s="15">
        <f t="shared" si="15"/>
        <v>157.63040000000001</v>
      </c>
      <c r="K185" s="15">
        <f t="shared" si="16"/>
        <v>4728.9120000000003</v>
      </c>
      <c r="L185" s="13">
        <v>101145</v>
      </c>
      <c r="M185" s="103"/>
      <c r="N185" s="13">
        <v>0.9</v>
      </c>
      <c r="O185" s="13">
        <v>1</v>
      </c>
      <c r="P185" s="13">
        <v>0.74</v>
      </c>
      <c r="Q185" s="13">
        <v>157.63040000000001</v>
      </c>
      <c r="R185" s="13"/>
    </row>
    <row r="186" spans="1:19" x14ac:dyDescent="0.25">
      <c r="A186" s="123" t="s">
        <v>5</v>
      </c>
      <c r="B186" s="123"/>
      <c r="C186" s="123"/>
      <c r="D186" s="123"/>
      <c r="E186" s="123"/>
      <c r="F186" s="123"/>
      <c r="G186" s="123"/>
      <c r="H186" s="123"/>
      <c r="I186" s="123"/>
      <c r="J186" s="123"/>
      <c r="K186" s="57">
        <f>SUM(K171:K185)</f>
        <v>409455.99812799995</v>
      </c>
      <c r="L186" s="13"/>
      <c r="M186" s="103"/>
      <c r="N186" s="13"/>
      <c r="O186" s="13"/>
      <c r="P186" s="13"/>
      <c r="Q186" s="13"/>
      <c r="R186" s="13"/>
    </row>
    <row r="187" spans="1:19" x14ac:dyDescent="0.25">
      <c r="A187" s="123" t="s">
        <v>669</v>
      </c>
      <c r="B187" s="123"/>
      <c r="C187" s="123"/>
      <c r="D187" s="123"/>
      <c r="E187" s="123"/>
      <c r="F187" s="123"/>
      <c r="G187" s="123"/>
      <c r="H187" s="123"/>
      <c r="I187" s="123"/>
      <c r="J187" s="123"/>
      <c r="K187" s="13"/>
      <c r="L187" s="13"/>
      <c r="M187" s="104"/>
      <c r="N187" s="13"/>
      <c r="O187" s="13"/>
      <c r="P187" s="13"/>
      <c r="Q187" s="13"/>
      <c r="R187" s="13"/>
    </row>
    <row r="192" spans="1:19" x14ac:dyDescent="0.25">
      <c r="A192" s="132" t="s">
        <v>0</v>
      </c>
      <c r="B192" s="132"/>
      <c r="C192" s="132"/>
      <c r="D192" s="132"/>
      <c r="E192" s="132"/>
      <c r="F192" s="132"/>
      <c r="G192" s="132"/>
      <c r="H192" s="132"/>
      <c r="I192" s="132"/>
      <c r="J192" s="132"/>
      <c r="K192" s="132"/>
      <c r="L192" s="137" t="s">
        <v>1</v>
      </c>
      <c r="M192" s="1"/>
      <c r="N192" s="1"/>
      <c r="O192" s="1"/>
      <c r="P192" s="1"/>
      <c r="Q192" s="1"/>
      <c r="R192" s="134" t="s">
        <v>2</v>
      </c>
      <c r="S192" s="139" t="s">
        <v>203</v>
      </c>
    </row>
    <row r="193" spans="1:19" x14ac:dyDescent="0.25">
      <c r="A193" s="135" t="s">
        <v>204</v>
      </c>
      <c r="B193" s="135"/>
      <c r="C193" s="135"/>
      <c r="D193" s="135"/>
      <c r="E193" s="135"/>
      <c r="F193" s="135"/>
      <c r="G193" s="135"/>
      <c r="H193" s="135"/>
      <c r="I193" s="135"/>
      <c r="J193" s="2" t="s">
        <v>5</v>
      </c>
      <c r="K193" s="136" t="s">
        <v>6</v>
      </c>
      <c r="L193" s="137"/>
      <c r="M193" s="138" t="s">
        <v>205</v>
      </c>
      <c r="N193" s="131" t="s">
        <v>7</v>
      </c>
      <c r="O193" s="3"/>
      <c r="P193" s="3"/>
      <c r="Q193" s="4"/>
      <c r="R193" s="134"/>
      <c r="S193" s="140"/>
    </row>
    <row r="194" spans="1:19" x14ac:dyDescent="0.25">
      <c r="A194" s="5"/>
      <c r="B194" s="146" t="s">
        <v>140</v>
      </c>
      <c r="C194" s="147"/>
      <c r="D194" s="147"/>
      <c r="E194" s="148"/>
      <c r="F194" s="143" t="s">
        <v>9</v>
      </c>
      <c r="G194" s="143"/>
      <c r="H194" s="143"/>
      <c r="I194" s="64"/>
      <c r="J194" s="136" t="s">
        <v>206</v>
      </c>
      <c r="K194" s="136"/>
      <c r="L194" s="137"/>
      <c r="M194" s="138"/>
      <c r="N194" s="131"/>
      <c r="O194" s="144" t="s">
        <v>11</v>
      </c>
      <c r="P194" s="131" t="s">
        <v>12</v>
      </c>
      <c r="Q194" s="131" t="s">
        <v>13</v>
      </c>
      <c r="R194" s="134"/>
      <c r="S194" s="140"/>
    </row>
    <row r="195" spans="1:19" ht="26.25" x14ac:dyDescent="0.25">
      <c r="A195" s="5" t="s">
        <v>14</v>
      </c>
      <c r="B195" s="8" t="s">
        <v>15</v>
      </c>
      <c r="C195" s="8" t="s">
        <v>16</v>
      </c>
      <c r="D195" s="8" t="s">
        <v>17</v>
      </c>
      <c r="E195" s="9" t="s">
        <v>18</v>
      </c>
      <c r="F195" s="10" t="s">
        <v>19</v>
      </c>
      <c r="G195" s="11" t="s">
        <v>20</v>
      </c>
      <c r="H195" s="12" t="s">
        <v>21</v>
      </c>
      <c r="I195" s="65" t="s">
        <v>22</v>
      </c>
      <c r="J195" s="136"/>
      <c r="K195" s="136"/>
      <c r="L195" s="137"/>
      <c r="M195" s="138"/>
      <c r="N195" s="131"/>
      <c r="O195" s="144"/>
      <c r="P195" s="131"/>
      <c r="Q195" s="131"/>
      <c r="R195" s="134"/>
      <c r="S195" s="141"/>
    </row>
    <row r="196" spans="1:19" x14ac:dyDescent="0.25">
      <c r="A196" s="13">
        <v>1</v>
      </c>
      <c r="B196" s="13" t="s">
        <v>207</v>
      </c>
      <c r="C196" s="13" t="s">
        <v>208</v>
      </c>
      <c r="D196" s="13" t="s">
        <v>209</v>
      </c>
      <c r="E196" s="13" t="s">
        <v>26</v>
      </c>
      <c r="F196" s="13"/>
      <c r="G196" s="13"/>
      <c r="H196" s="13">
        <v>8</v>
      </c>
      <c r="I196" s="66">
        <f>SUM(F196:H196)</f>
        <v>8</v>
      </c>
      <c r="J196" s="15">
        <f>Q196*R196</f>
        <v>573.77465600000005</v>
      </c>
      <c r="K196" s="15">
        <f>J196*I196</f>
        <v>4590.1972480000004</v>
      </c>
      <c r="L196" s="13">
        <v>101145</v>
      </c>
      <c r="M196" s="23">
        <v>47489</v>
      </c>
      <c r="N196" s="102" t="s">
        <v>678</v>
      </c>
      <c r="O196" s="13">
        <v>1.48</v>
      </c>
      <c r="P196" s="13">
        <v>1.65</v>
      </c>
      <c r="Q196" s="13">
        <v>3.64</v>
      </c>
      <c r="R196" s="13">
        <v>157.63040000000001</v>
      </c>
      <c r="S196" s="13"/>
    </row>
    <row r="197" spans="1:19" x14ac:dyDescent="0.25">
      <c r="A197" s="13">
        <v>2</v>
      </c>
      <c r="B197" s="13" t="s">
        <v>210</v>
      </c>
      <c r="C197" s="13" t="s">
        <v>211</v>
      </c>
      <c r="D197" s="13" t="s">
        <v>212</v>
      </c>
      <c r="E197" s="13" t="s">
        <v>26</v>
      </c>
      <c r="F197" s="13"/>
      <c r="G197" s="13"/>
      <c r="H197" s="13">
        <v>2</v>
      </c>
      <c r="I197" s="66">
        <f t="shared" ref="I197:I223" si="18">SUM(F197:H197)</f>
        <v>2</v>
      </c>
      <c r="J197" s="15">
        <f t="shared" ref="J197:J223" si="19">Q197*R197</f>
        <v>1681.9163680000001</v>
      </c>
      <c r="K197" s="15">
        <f t="shared" ref="K197:K223" si="20">J197*I197</f>
        <v>3363.8327360000003</v>
      </c>
      <c r="L197" s="13">
        <v>101145</v>
      </c>
      <c r="M197" s="23">
        <v>47487</v>
      </c>
      <c r="N197" s="103"/>
      <c r="O197" s="13">
        <v>4.3499999999999996</v>
      </c>
      <c r="P197" s="13">
        <v>4.87</v>
      </c>
      <c r="Q197" s="13">
        <v>10.67</v>
      </c>
      <c r="R197" s="13">
        <v>157.63040000000001</v>
      </c>
      <c r="S197" s="13"/>
    </row>
    <row r="198" spans="1:19" x14ac:dyDescent="0.25">
      <c r="A198" s="13">
        <v>3</v>
      </c>
      <c r="B198" s="13" t="s">
        <v>213</v>
      </c>
      <c r="C198" s="13" t="s">
        <v>214</v>
      </c>
      <c r="D198" s="13" t="s">
        <v>209</v>
      </c>
      <c r="E198" s="13" t="s">
        <v>26</v>
      </c>
      <c r="F198" s="13"/>
      <c r="G198" s="13"/>
      <c r="H198" s="13">
        <v>5</v>
      </c>
      <c r="I198" s="66">
        <f t="shared" si="18"/>
        <v>5</v>
      </c>
      <c r="J198" s="15">
        <f t="shared" si="19"/>
        <v>1144.396704</v>
      </c>
      <c r="K198" s="15">
        <f t="shared" si="20"/>
        <v>5721.9835199999998</v>
      </c>
      <c r="L198" s="13">
        <v>101145</v>
      </c>
      <c r="M198" s="23">
        <v>47488</v>
      </c>
      <c r="N198" s="103"/>
      <c r="O198" s="13">
        <v>2.95</v>
      </c>
      <c r="P198" s="13">
        <v>3.31</v>
      </c>
      <c r="Q198" s="13">
        <v>7.26</v>
      </c>
      <c r="R198" s="13">
        <v>157.63040000000001</v>
      </c>
      <c r="S198" s="13"/>
    </row>
    <row r="199" spans="1:19" x14ac:dyDescent="0.25">
      <c r="A199" s="13">
        <v>4</v>
      </c>
      <c r="B199" s="13" t="s">
        <v>215</v>
      </c>
      <c r="C199" s="13" t="s">
        <v>216</v>
      </c>
      <c r="D199" s="13" t="s">
        <v>36</v>
      </c>
      <c r="E199" s="13" t="s">
        <v>26</v>
      </c>
      <c r="F199" s="13"/>
      <c r="G199" s="13"/>
      <c r="H199" s="13">
        <v>3</v>
      </c>
      <c r="I199" s="66">
        <f t="shared" si="18"/>
        <v>3</v>
      </c>
      <c r="J199" s="15">
        <f t="shared" si="19"/>
        <v>911.10371200000009</v>
      </c>
      <c r="K199" s="15">
        <f t="shared" si="20"/>
        <v>2733.3111360000003</v>
      </c>
      <c r="L199" s="13">
        <v>101145</v>
      </c>
      <c r="M199" s="13"/>
      <c r="N199" s="103"/>
      <c r="O199" s="13">
        <v>2.36</v>
      </c>
      <c r="P199" s="13">
        <v>2.64</v>
      </c>
      <c r="Q199" s="13">
        <v>5.78</v>
      </c>
      <c r="R199" s="13">
        <v>157.63040000000001</v>
      </c>
      <c r="S199" s="13"/>
    </row>
    <row r="200" spans="1:19" x14ac:dyDescent="0.25">
      <c r="A200" s="13">
        <v>5</v>
      </c>
      <c r="B200" s="13" t="s">
        <v>207</v>
      </c>
      <c r="C200" s="13" t="s">
        <v>214</v>
      </c>
      <c r="D200" s="13" t="s">
        <v>36</v>
      </c>
      <c r="E200" s="13" t="s">
        <v>26</v>
      </c>
      <c r="F200" s="13"/>
      <c r="G200" s="13"/>
      <c r="H200" s="13">
        <v>9</v>
      </c>
      <c r="I200" s="66">
        <f t="shared" si="18"/>
        <v>9</v>
      </c>
      <c r="J200" s="15">
        <f t="shared" si="19"/>
        <v>573.77465600000005</v>
      </c>
      <c r="K200" s="15">
        <f t="shared" si="20"/>
        <v>5163.971904</v>
      </c>
      <c r="L200" s="13">
        <v>101145</v>
      </c>
      <c r="M200" s="23">
        <v>47492</v>
      </c>
      <c r="N200" s="103"/>
      <c r="O200" s="13">
        <v>1.48</v>
      </c>
      <c r="P200" s="13">
        <v>1.65</v>
      </c>
      <c r="Q200" s="13">
        <v>3.64</v>
      </c>
      <c r="R200" s="13">
        <v>157.63040000000001</v>
      </c>
      <c r="S200" s="13"/>
    </row>
    <row r="201" spans="1:19" x14ac:dyDescent="0.25">
      <c r="A201" s="13">
        <v>6</v>
      </c>
      <c r="B201" s="13" t="s">
        <v>207</v>
      </c>
      <c r="C201" s="13" t="s">
        <v>217</v>
      </c>
      <c r="D201" s="13" t="s">
        <v>25</v>
      </c>
      <c r="E201" s="13" t="s">
        <v>26</v>
      </c>
      <c r="F201" s="13"/>
      <c r="G201" s="13"/>
      <c r="H201" s="13">
        <v>3</v>
      </c>
      <c r="I201" s="66">
        <f t="shared" si="18"/>
        <v>3</v>
      </c>
      <c r="J201" s="15">
        <f t="shared" si="19"/>
        <v>573.77465600000005</v>
      </c>
      <c r="K201" s="15">
        <f t="shared" si="20"/>
        <v>1721.3239680000001</v>
      </c>
      <c r="L201" s="13">
        <v>101145</v>
      </c>
      <c r="M201" s="13"/>
      <c r="N201" s="103"/>
      <c r="O201" s="13">
        <v>1.48</v>
      </c>
      <c r="P201" s="13">
        <v>1.65</v>
      </c>
      <c r="Q201" s="13">
        <v>3.64</v>
      </c>
      <c r="R201" s="13">
        <v>157.63040000000001</v>
      </c>
      <c r="S201" s="13"/>
    </row>
    <row r="202" spans="1:19" x14ac:dyDescent="0.25">
      <c r="A202" s="13">
        <v>7</v>
      </c>
      <c r="B202" s="13" t="s">
        <v>210</v>
      </c>
      <c r="C202" s="13" t="s">
        <v>218</v>
      </c>
      <c r="D202" s="13" t="s">
        <v>212</v>
      </c>
      <c r="E202" s="13" t="s">
        <v>26</v>
      </c>
      <c r="F202" s="13"/>
      <c r="G202" s="13"/>
      <c r="H202" s="13">
        <v>3</v>
      </c>
      <c r="I202" s="66">
        <f t="shared" si="18"/>
        <v>3</v>
      </c>
      <c r="J202" s="15">
        <f t="shared" si="19"/>
        <v>1681.9163680000001</v>
      </c>
      <c r="K202" s="15">
        <f t="shared" si="20"/>
        <v>5045.7491040000004</v>
      </c>
      <c r="L202" s="13">
        <v>101145</v>
      </c>
      <c r="M202" s="13"/>
      <c r="N202" s="103"/>
      <c r="O202" s="13">
        <v>4.3499999999999996</v>
      </c>
      <c r="P202" s="13">
        <v>4.87</v>
      </c>
      <c r="Q202" s="13">
        <v>10.67</v>
      </c>
      <c r="R202" s="13">
        <v>157.63040000000001</v>
      </c>
      <c r="S202" s="13"/>
    </row>
    <row r="203" spans="1:19" x14ac:dyDescent="0.25">
      <c r="A203" s="13">
        <v>8</v>
      </c>
      <c r="B203" s="13" t="s">
        <v>210</v>
      </c>
      <c r="C203" s="13" t="s">
        <v>219</v>
      </c>
      <c r="D203" s="13" t="s">
        <v>36</v>
      </c>
      <c r="E203" s="13" t="s">
        <v>26</v>
      </c>
      <c r="F203" s="13"/>
      <c r="G203" s="13"/>
      <c r="H203" s="13">
        <v>1</v>
      </c>
      <c r="I203" s="66">
        <f t="shared" si="18"/>
        <v>1</v>
      </c>
      <c r="J203" s="15">
        <f t="shared" si="19"/>
        <v>1144.396704</v>
      </c>
      <c r="K203" s="15">
        <f t="shared" si="20"/>
        <v>1144.396704</v>
      </c>
      <c r="L203" s="13">
        <v>101146</v>
      </c>
      <c r="M203" s="13"/>
      <c r="N203" s="103"/>
      <c r="O203" s="13">
        <v>2.95</v>
      </c>
      <c r="P203" s="13">
        <v>3.31</v>
      </c>
      <c r="Q203" s="13">
        <v>7.26</v>
      </c>
      <c r="R203" s="13">
        <v>157.63040000000001</v>
      </c>
      <c r="S203" s="13"/>
    </row>
    <row r="204" spans="1:19" x14ac:dyDescent="0.25">
      <c r="A204" s="13">
        <v>9</v>
      </c>
      <c r="B204" s="13" t="s">
        <v>210</v>
      </c>
      <c r="C204" s="13" t="s">
        <v>220</v>
      </c>
      <c r="D204" s="13" t="s">
        <v>209</v>
      </c>
      <c r="E204" s="13" t="s">
        <v>26</v>
      </c>
      <c r="F204" s="13"/>
      <c r="G204" s="13"/>
      <c r="H204" s="13">
        <v>3</v>
      </c>
      <c r="I204" s="66">
        <f t="shared" si="18"/>
        <v>3</v>
      </c>
      <c r="J204" s="15">
        <f t="shared" si="19"/>
        <v>1144.396704</v>
      </c>
      <c r="K204" s="15">
        <f t="shared" si="20"/>
        <v>3433.1901120000002</v>
      </c>
      <c r="L204" s="13">
        <v>101146</v>
      </c>
      <c r="M204" s="23">
        <v>47486</v>
      </c>
      <c r="N204" s="103"/>
      <c r="O204" s="13">
        <v>2.95</v>
      </c>
      <c r="P204" s="13">
        <v>3.31</v>
      </c>
      <c r="Q204" s="13">
        <v>7.26</v>
      </c>
      <c r="R204" s="13">
        <v>157.63040000000001</v>
      </c>
      <c r="S204" s="13"/>
    </row>
    <row r="205" spans="1:19" x14ac:dyDescent="0.25">
      <c r="A205" s="13">
        <v>10</v>
      </c>
      <c r="B205" s="13" t="s">
        <v>210</v>
      </c>
      <c r="C205" s="13" t="s">
        <v>221</v>
      </c>
      <c r="D205" s="13" t="s">
        <v>212</v>
      </c>
      <c r="E205" s="13" t="s">
        <v>26</v>
      </c>
      <c r="F205" s="13"/>
      <c r="G205" s="13"/>
      <c r="H205" s="13">
        <v>2</v>
      </c>
      <c r="I205" s="66">
        <f t="shared" si="18"/>
        <v>2</v>
      </c>
      <c r="J205" s="15">
        <f t="shared" si="19"/>
        <v>1681.9163680000001</v>
      </c>
      <c r="K205" s="15">
        <f t="shared" si="20"/>
        <v>3363.8327360000003</v>
      </c>
      <c r="L205" s="13">
        <v>101146</v>
      </c>
      <c r="M205" s="23">
        <v>47492</v>
      </c>
      <c r="N205" s="103"/>
      <c r="O205" s="13">
        <v>4.3499999999999996</v>
      </c>
      <c r="P205" s="13">
        <v>4.87</v>
      </c>
      <c r="Q205" s="13">
        <v>10.67</v>
      </c>
      <c r="R205" s="13">
        <v>157.63040000000001</v>
      </c>
      <c r="S205" s="13"/>
    </row>
    <row r="206" spans="1:19" x14ac:dyDescent="0.25">
      <c r="A206" s="13">
        <v>11</v>
      </c>
      <c r="B206" s="13" t="s">
        <v>213</v>
      </c>
      <c r="C206" s="13" t="s">
        <v>222</v>
      </c>
      <c r="D206" s="13" t="s">
        <v>36</v>
      </c>
      <c r="E206" s="13" t="s">
        <v>26</v>
      </c>
      <c r="F206" s="13"/>
      <c r="G206" s="13"/>
      <c r="H206" s="13">
        <v>3</v>
      </c>
      <c r="I206" s="66">
        <f t="shared" si="18"/>
        <v>3</v>
      </c>
      <c r="J206" s="15">
        <f t="shared" si="19"/>
        <v>1144.396704</v>
      </c>
      <c r="K206" s="15">
        <f t="shared" si="20"/>
        <v>3433.1901120000002</v>
      </c>
      <c r="L206" s="13">
        <v>101146</v>
      </c>
      <c r="M206" s="23">
        <v>47486</v>
      </c>
      <c r="N206" s="103"/>
      <c r="O206" s="13">
        <v>2.95</v>
      </c>
      <c r="P206" s="13">
        <v>3.31</v>
      </c>
      <c r="Q206" s="13">
        <v>7.26</v>
      </c>
      <c r="R206" s="13">
        <v>157.63040000000001</v>
      </c>
      <c r="S206" s="13"/>
    </row>
    <row r="207" spans="1:19" x14ac:dyDescent="0.25">
      <c r="A207" s="13">
        <v>12</v>
      </c>
      <c r="B207" s="13" t="s">
        <v>213</v>
      </c>
      <c r="C207" s="13" t="s">
        <v>223</v>
      </c>
      <c r="D207" s="13" t="s">
        <v>209</v>
      </c>
      <c r="E207" s="13" t="s">
        <v>26</v>
      </c>
      <c r="F207" s="13"/>
      <c r="G207" s="13"/>
      <c r="H207" s="13">
        <v>2</v>
      </c>
      <c r="I207" s="66">
        <f t="shared" si="18"/>
        <v>2</v>
      </c>
      <c r="J207" s="15">
        <f t="shared" si="19"/>
        <v>1144.396704</v>
      </c>
      <c r="K207" s="15">
        <f t="shared" si="20"/>
        <v>2288.793408</v>
      </c>
      <c r="L207" s="13">
        <v>101146</v>
      </c>
      <c r="M207" s="23">
        <v>47129</v>
      </c>
      <c r="N207" s="103"/>
      <c r="O207" s="13">
        <v>2.95</v>
      </c>
      <c r="P207" s="13">
        <v>3.31</v>
      </c>
      <c r="Q207" s="13">
        <v>7.26</v>
      </c>
      <c r="R207" s="13">
        <v>157.63040000000001</v>
      </c>
      <c r="S207" s="13"/>
    </row>
    <row r="208" spans="1:19" x14ac:dyDescent="0.25">
      <c r="A208" s="13">
        <v>13</v>
      </c>
      <c r="B208" s="13" t="s">
        <v>207</v>
      </c>
      <c r="C208" s="13" t="s">
        <v>223</v>
      </c>
      <c r="D208" s="13" t="s">
        <v>36</v>
      </c>
      <c r="E208" s="13" t="s">
        <v>26</v>
      </c>
      <c r="F208" s="13"/>
      <c r="G208" s="13"/>
      <c r="H208" s="13">
        <v>3</v>
      </c>
      <c r="I208" s="66">
        <f t="shared" si="18"/>
        <v>3</v>
      </c>
      <c r="J208" s="15">
        <f t="shared" si="19"/>
        <v>573.77465600000005</v>
      </c>
      <c r="K208" s="15">
        <f t="shared" si="20"/>
        <v>1721.3239680000001</v>
      </c>
      <c r="L208" s="13">
        <v>101146</v>
      </c>
      <c r="M208" s="23">
        <v>47492</v>
      </c>
      <c r="N208" s="103"/>
      <c r="O208" s="13">
        <v>1.48</v>
      </c>
      <c r="P208" s="13">
        <v>1.65</v>
      </c>
      <c r="Q208" s="13">
        <v>3.64</v>
      </c>
      <c r="R208" s="13">
        <v>157.63040000000001</v>
      </c>
      <c r="S208" s="13"/>
    </row>
    <row r="209" spans="1:19" x14ac:dyDescent="0.25">
      <c r="A209" s="13">
        <v>14</v>
      </c>
      <c r="B209" s="13" t="s">
        <v>210</v>
      </c>
      <c r="C209" s="13" t="s">
        <v>224</v>
      </c>
      <c r="D209" s="13" t="s">
        <v>36</v>
      </c>
      <c r="E209" s="13" t="s">
        <v>26</v>
      </c>
      <c r="F209" s="13"/>
      <c r="G209" s="13"/>
      <c r="H209" s="13">
        <v>5</v>
      </c>
      <c r="I209" s="66">
        <f t="shared" si="18"/>
        <v>5</v>
      </c>
      <c r="J209" s="15">
        <f t="shared" si="19"/>
        <v>1144.396704</v>
      </c>
      <c r="K209" s="15">
        <f t="shared" si="20"/>
        <v>5721.9835199999998</v>
      </c>
      <c r="L209" s="13">
        <v>101146</v>
      </c>
      <c r="M209" s="13"/>
      <c r="N209" s="103"/>
      <c r="O209" s="13">
        <v>2.95</v>
      </c>
      <c r="P209" s="13">
        <v>3.31</v>
      </c>
      <c r="Q209" s="13">
        <v>7.26</v>
      </c>
      <c r="R209" s="13">
        <v>157.63040000000001</v>
      </c>
      <c r="S209" s="13"/>
    </row>
    <row r="210" spans="1:19" x14ac:dyDescent="0.25">
      <c r="A210" s="13">
        <v>15</v>
      </c>
      <c r="B210" s="13" t="s">
        <v>210</v>
      </c>
      <c r="C210" s="13" t="s">
        <v>225</v>
      </c>
      <c r="D210" s="13" t="s">
        <v>212</v>
      </c>
      <c r="E210" s="13" t="s">
        <v>26</v>
      </c>
      <c r="F210" s="13"/>
      <c r="G210" s="13"/>
      <c r="H210" s="13">
        <v>1</v>
      </c>
      <c r="I210" s="66">
        <f t="shared" si="18"/>
        <v>1</v>
      </c>
      <c r="J210" s="15">
        <f t="shared" si="19"/>
        <v>1681.9163680000001</v>
      </c>
      <c r="K210" s="15">
        <f t="shared" si="20"/>
        <v>1681.9163680000001</v>
      </c>
      <c r="L210" s="13">
        <v>101146</v>
      </c>
      <c r="M210" s="13"/>
      <c r="N210" s="103"/>
      <c r="O210" s="13">
        <v>4.3499999999999996</v>
      </c>
      <c r="P210" s="13">
        <v>4.87</v>
      </c>
      <c r="Q210" s="13">
        <v>10.67</v>
      </c>
      <c r="R210" s="13">
        <v>157.63040000000001</v>
      </c>
      <c r="S210" s="13"/>
    </row>
    <row r="211" spans="1:19" x14ac:dyDescent="0.25">
      <c r="A211" s="13">
        <v>16</v>
      </c>
      <c r="B211" s="13" t="s">
        <v>210</v>
      </c>
      <c r="C211" s="13" t="s">
        <v>226</v>
      </c>
      <c r="D211" s="13" t="s">
        <v>209</v>
      </c>
      <c r="E211" s="13" t="s">
        <v>26</v>
      </c>
      <c r="F211" s="13"/>
      <c r="G211" s="13"/>
      <c r="H211" s="13">
        <v>1</v>
      </c>
      <c r="I211" s="66">
        <f t="shared" si="18"/>
        <v>1</v>
      </c>
      <c r="J211" s="15">
        <f t="shared" si="19"/>
        <v>1144.396704</v>
      </c>
      <c r="K211" s="15">
        <f t="shared" si="20"/>
        <v>1144.396704</v>
      </c>
      <c r="L211" s="13">
        <v>101146</v>
      </c>
      <c r="M211" s="23">
        <v>47494</v>
      </c>
      <c r="N211" s="103"/>
      <c r="O211" s="13">
        <v>2.95</v>
      </c>
      <c r="P211" s="13">
        <v>3.31</v>
      </c>
      <c r="Q211" s="13">
        <v>7.26</v>
      </c>
      <c r="R211" s="13">
        <v>157.63040000000001</v>
      </c>
      <c r="S211" s="13"/>
    </row>
    <row r="212" spans="1:19" x14ac:dyDescent="0.25">
      <c r="A212" s="13">
        <v>17</v>
      </c>
      <c r="B212" s="13" t="s">
        <v>210</v>
      </c>
      <c r="C212" s="13" t="s">
        <v>227</v>
      </c>
      <c r="D212" s="13" t="s">
        <v>36</v>
      </c>
      <c r="E212" s="13" t="s">
        <v>26</v>
      </c>
      <c r="F212" s="13"/>
      <c r="G212" s="13"/>
      <c r="H212" s="13">
        <v>1</v>
      </c>
      <c r="I212" s="66">
        <f t="shared" si="18"/>
        <v>1</v>
      </c>
      <c r="J212" s="15">
        <f t="shared" si="19"/>
        <v>1144.396704</v>
      </c>
      <c r="K212" s="15">
        <f t="shared" si="20"/>
        <v>1144.396704</v>
      </c>
      <c r="L212" s="13">
        <v>101146</v>
      </c>
      <c r="M212" s="13"/>
      <c r="N212" s="103"/>
      <c r="O212" s="13">
        <v>2.95</v>
      </c>
      <c r="P212" s="13">
        <v>3.31</v>
      </c>
      <c r="Q212" s="13">
        <v>7.26</v>
      </c>
      <c r="R212" s="13">
        <v>157.63040000000001</v>
      </c>
      <c r="S212" s="13"/>
    </row>
    <row r="213" spans="1:19" x14ac:dyDescent="0.25">
      <c r="A213" s="13">
        <v>18</v>
      </c>
      <c r="B213" s="13" t="s">
        <v>207</v>
      </c>
      <c r="C213" s="16" t="s">
        <v>228</v>
      </c>
      <c r="D213" s="13" t="s">
        <v>25</v>
      </c>
      <c r="E213" s="13" t="s">
        <v>26</v>
      </c>
      <c r="F213" s="13"/>
      <c r="G213" s="13"/>
      <c r="H213" s="13">
        <v>1</v>
      </c>
      <c r="I213" s="66">
        <f t="shared" si="18"/>
        <v>1</v>
      </c>
      <c r="J213" s="15">
        <f t="shared" si="19"/>
        <v>573.77465600000005</v>
      </c>
      <c r="K213" s="15">
        <f t="shared" si="20"/>
        <v>573.77465600000005</v>
      </c>
      <c r="L213" s="13">
        <v>101146</v>
      </c>
      <c r="M213" s="13"/>
      <c r="N213" s="103"/>
      <c r="O213" s="13">
        <v>1.48</v>
      </c>
      <c r="P213" s="13">
        <v>1.65</v>
      </c>
      <c r="Q213" s="13">
        <v>3.64</v>
      </c>
      <c r="R213" s="13">
        <v>157.63040000000001</v>
      </c>
      <c r="S213" s="13"/>
    </row>
    <row r="214" spans="1:19" x14ac:dyDescent="0.25">
      <c r="A214" s="13">
        <v>19</v>
      </c>
      <c r="B214" s="13" t="s">
        <v>207</v>
      </c>
      <c r="C214" s="13" t="s">
        <v>229</v>
      </c>
      <c r="D214" s="13" t="s">
        <v>209</v>
      </c>
      <c r="E214" s="13" t="s">
        <v>26</v>
      </c>
      <c r="F214" s="13"/>
      <c r="G214" s="13"/>
      <c r="H214" s="13">
        <v>3</v>
      </c>
      <c r="I214" s="66">
        <f t="shared" si="18"/>
        <v>3</v>
      </c>
      <c r="J214" s="15">
        <f t="shared" si="19"/>
        <v>573.77465600000005</v>
      </c>
      <c r="K214" s="15">
        <f t="shared" si="20"/>
        <v>1721.3239680000001</v>
      </c>
      <c r="L214" s="13">
        <v>101146</v>
      </c>
      <c r="M214" s="13"/>
      <c r="N214" s="103"/>
      <c r="O214" s="13">
        <v>1.48</v>
      </c>
      <c r="P214" s="13">
        <v>1.65</v>
      </c>
      <c r="Q214" s="13">
        <v>3.64</v>
      </c>
      <c r="R214" s="13">
        <v>157.63040000000001</v>
      </c>
      <c r="S214" s="13"/>
    </row>
    <row r="215" spans="1:19" x14ac:dyDescent="0.25">
      <c r="A215" s="13">
        <v>20</v>
      </c>
      <c r="B215" s="13" t="s">
        <v>207</v>
      </c>
      <c r="C215" s="13" t="s">
        <v>230</v>
      </c>
      <c r="D215" s="13" t="s">
        <v>25</v>
      </c>
      <c r="E215" s="13" t="s">
        <v>26</v>
      </c>
      <c r="F215" s="13"/>
      <c r="G215" s="13"/>
      <c r="H215" s="13">
        <v>1</v>
      </c>
      <c r="I215" s="66">
        <f t="shared" si="18"/>
        <v>1</v>
      </c>
      <c r="J215" s="15">
        <f t="shared" si="19"/>
        <v>573.77465600000005</v>
      </c>
      <c r="K215" s="15">
        <f t="shared" si="20"/>
        <v>573.77465600000005</v>
      </c>
      <c r="L215" s="13">
        <v>101146</v>
      </c>
      <c r="M215" s="13"/>
      <c r="N215" s="103"/>
      <c r="O215" s="13">
        <v>1.48</v>
      </c>
      <c r="P215" s="13">
        <v>1.65</v>
      </c>
      <c r="Q215" s="13">
        <v>3.64</v>
      </c>
      <c r="R215" s="13">
        <v>157.63040000000001</v>
      </c>
      <c r="S215" s="13"/>
    </row>
    <row r="216" spans="1:19" x14ac:dyDescent="0.25">
      <c r="A216" s="13">
        <v>21</v>
      </c>
      <c r="B216" s="13" t="s">
        <v>210</v>
      </c>
      <c r="C216" s="13" t="s">
        <v>231</v>
      </c>
      <c r="D216" s="13" t="s">
        <v>25</v>
      </c>
      <c r="E216" s="13" t="s">
        <v>26</v>
      </c>
      <c r="F216" s="13"/>
      <c r="G216" s="13"/>
      <c r="H216" s="13">
        <v>1</v>
      </c>
      <c r="I216" s="66">
        <f t="shared" si="18"/>
        <v>1</v>
      </c>
      <c r="J216" s="15">
        <f t="shared" si="19"/>
        <v>1144.396704</v>
      </c>
      <c r="K216" s="15">
        <f t="shared" si="20"/>
        <v>1144.396704</v>
      </c>
      <c r="L216" s="13">
        <v>101147</v>
      </c>
      <c r="M216" s="13"/>
      <c r="N216" s="103"/>
      <c r="O216" s="13">
        <v>2.95</v>
      </c>
      <c r="P216" s="13">
        <v>3.31</v>
      </c>
      <c r="Q216" s="13">
        <v>7.26</v>
      </c>
      <c r="R216" s="13">
        <v>157.63040000000001</v>
      </c>
      <c r="S216" s="13"/>
    </row>
    <row r="217" spans="1:19" x14ac:dyDescent="0.25">
      <c r="A217" s="13">
        <v>22</v>
      </c>
      <c r="B217" s="13" t="s">
        <v>232</v>
      </c>
      <c r="C217" s="13" t="s">
        <v>36</v>
      </c>
      <c r="D217" s="13" t="s">
        <v>36</v>
      </c>
      <c r="E217" s="13" t="s">
        <v>26</v>
      </c>
      <c r="F217" s="13"/>
      <c r="G217" s="13"/>
      <c r="H217" s="13">
        <v>1</v>
      </c>
      <c r="I217" s="66">
        <f t="shared" si="18"/>
        <v>1</v>
      </c>
      <c r="J217" s="15">
        <f t="shared" si="19"/>
        <v>1144.396704</v>
      </c>
      <c r="K217" s="15">
        <f t="shared" si="20"/>
        <v>1144.396704</v>
      </c>
      <c r="L217" s="13">
        <v>101147</v>
      </c>
      <c r="M217" s="23">
        <v>47488</v>
      </c>
      <c r="N217" s="103"/>
      <c r="O217" s="13">
        <v>2.95</v>
      </c>
      <c r="P217" s="13">
        <v>3.31</v>
      </c>
      <c r="Q217" s="13">
        <v>7.26</v>
      </c>
      <c r="R217" s="13">
        <v>157.63040000000001</v>
      </c>
      <c r="S217" s="13"/>
    </row>
    <row r="218" spans="1:19" x14ac:dyDescent="0.25">
      <c r="A218" s="13">
        <v>23</v>
      </c>
      <c r="B218" s="13" t="s">
        <v>207</v>
      </c>
      <c r="C218" s="13" t="s">
        <v>233</v>
      </c>
      <c r="D218" s="13" t="s">
        <v>25</v>
      </c>
      <c r="E218" s="13" t="s">
        <v>26</v>
      </c>
      <c r="F218" s="13"/>
      <c r="G218" s="13"/>
      <c r="H218" s="13">
        <v>2</v>
      </c>
      <c r="I218" s="66">
        <f t="shared" si="18"/>
        <v>2</v>
      </c>
      <c r="J218" s="15">
        <f t="shared" si="19"/>
        <v>573.77465600000005</v>
      </c>
      <c r="K218" s="15">
        <f t="shared" si="20"/>
        <v>1147.5493120000001</v>
      </c>
      <c r="L218" s="13">
        <v>101147</v>
      </c>
      <c r="M218" s="13"/>
      <c r="N218" s="103"/>
      <c r="O218" s="13">
        <v>1.48</v>
      </c>
      <c r="P218" s="13">
        <v>1.65</v>
      </c>
      <c r="Q218" s="13">
        <v>3.64</v>
      </c>
      <c r="R218" s="13">
        <v>157.63040000000001</v>
      </c>
      <c r="S218" s="13"/>
    </row>
    <row r="219" spans="1:19" x14ac:dyDescent="0.25">
      <c r="A219" s="13">
        <v>24</v>
      </c>
      <c r="B219" s="13" t="s">
        <v>213</v>
      </c>
      <c r="C219" s="13" t="s">
        <v>234</v>
      </c>
      <c r="D219" s="13" t="s">
        <v>36</v>
      </c>
      <c r="E219" s="13" t="s">
        <v>26</v>
      </c>
      <c r="F219" s="13"/>
      <c r="G219" s="13"/>
      <c r="H219" s="13">
        <v>2</v>
      </c>
      <c r="I219" s="66">
        <f t="shared" si="18"/>
        <v>2</v>
      </c>
      <c r="J219" s="15">
        <f t="shared" si="19"/>
        <v>1144.396704</v>
      </c>
      <c r="K219" s="15">
        <f t="shared" si="20"/>
        <v>2288.793408</v>
      </c>
      <c r="L219" s="13">
        <v>101147</v>
      </c>
      <c r="M219" s="13"/>
      <c r="N219" s="103"/>
      <c r="O219" s="13">
        <v>2.95</v>
      </c>
      <c r="P219" s="13">
        <v>3.31</v>
      </c>
      <c r="Q219" s="13">
        <v>7.26</v>
      </c>
      <c r="R219" s="13">
        <v>157.63040000000001</v>
      </c>
      <c r="S219" s="13"/>
    </row>
    <row r="220" spans="1:19" x14ac:dyDescent="0.25">
      <c r="A220" s="13">
        <v>25</v>
      </c>
      <c r="B220" s="13" t="s">
        <v>210</v>
      </c>
      <c r="C220" s="13" t="s">
        <v>235</v>
      </c>
      <c r="D220" s="13" t="s">
        <v>25</v>
      </c>
      <c r="E220" s="13" t="s">
        <v>26</v>
      </c>
      <c r="F220" s="13"/>
      <c r="G220" s="13"/>
      <c r="H220" s="13">
        <v>1</v>
      </c>
      <c r="I220" s="66">
        <f t="shared" si="18"/>
        <v>1</v>
      </c>
      <c r="J220" s="15">
        <f t="shared" si="19"/>
        <v>1144.396704</v>
      </c>
      <c r="K220" s="15">
        <f t="shared" si="20"/>
        <v>1144.396704</v>
      </c>
      <c r="L220" s="13">
        <v>101147</v>
      </c>
      <c r="M220" s="23">
        <v>47665</v>
      </c>
      <c r="N220" s="103"/>
      <c r="O220" s="13">
        <v>2.95</v>
      </c>
      <c r="P220" s="13">
        <v>3.31</v>
      </c>
      <c r="Q220" s="13">
        <v>7.26</v>
      </c>
      <c r="R220" s="13">
        <v>157.63040000000001</v>
      </c>
      <c r="S220" s="13"/>
    </row>
    <row r="221" spans="1:19" x14ac:dyDescent="0.25">
      <c r="A221" s="13">
        <v>26</v>
      </c>
      <c r="B221" s="13" t="s">
        <v>236</v>
      </c>
      <c r="C221" s="13" t="s">
        <v>237</v>
      </c>
      <c r="D221" s="13" t="s">
        <v>34</v>
      </c>
      <c r="E221" s="13" t="s">
        <v>238</v>
      </c>
      <c r="F221" s="13"/>
      <c r="G221" s="13"/>
      <c r="H221" s="13">
        <v>44</v>
      </c>
      <c r="I221" s="66">
        <f t="shared" si="18"/>
        <v>44</v>
      </c>
      <c r="J221" s="15">
        <f t="shared" si="19"/>
        <v>119.79910400000001</v>
      </c>
      <c r="K221" s="15">
        <f t="shared" si="20"/>
        <v>5271.1605760000002</v>
      </c>
      <c r="L221" s="13">
        <v>101147</v>
      </c>
      <c r="M221" s="23">
        <v>46759</v>
      </c>
      <c r="N221" s="103"/>
      <c r="O221" s="13">
        <v>1.95</v>
      </c>
      <c r="P221" s="13">
        <v>2.1800000000000002</v>
      </c>
      <c r="Q221" s="13">
        <v>0.76</v>
      </c>
      <c r="R221" s="13">
        <v>157.63040000000001</v>
      </c>
      <c r="S221" s="13"/>
    </row>
    <row r="222" spans="1:19" x14ac:dyDescent="0.25">
      <c r="A222" s="13">
        <v>27</v>
      </c>
      <c r="B222" s="13" t="s">
        <v>239</v>
      </c>
      <c r="C222" s="13" t="s">
        <v>240</v>
      </c>
      <c r="D222" s="13" t="s">
        <v>34</v>
      </c>
      <c r="E222" s="13" t="s">
        <v>238</v>
      </c>
      <c r="F222" s="13"/>
      <c r="G222" s="13"/>
      <c r="H222" s="13">
        <v>1</v>
      </c>
      <c r="I222" s="66">
        <f t="shared" si="18"/>
        <v>1</v>
      </c>
      <c r="J222" s="15">
        <f t="shared" si="19"/>
        <v>269.54798399999999</v>
      </c>
      <c r="K222" s="15">
        <f t="shared" si="20"/>
        <v>269.54798399999999</v>
      </c>
      <c r="L222" s="13">
        <v>101147</v>
      </c>
      <c r="M222" s="23">
        <v>46030</v>
      </c>
      <c r="N222" s="103"/>
      <c r="O222" s="13">
        <v>2.5</v>
      </c>
      <c r="P222" s="13">
        <v>2.8</v>
      </c>
      <c r="Q222" s="13">
        <v>1.71</v>
      </c>
      <c r="R222" s="13">
        <v>157.63040000000001</v>
      </c>
      <c r="S222" s="13"/>
    </row>
    <row r="223" spans="1:19" x14ac:dyDescent="0.25">
      <c r="A223" s="13">
        <v>28</v>
      </c>
      <c r="B223" s="13" t="s">
        <v>241</v>
      </c>
      <c r="C223" s="13" t="s">
        <v>242</v>
      </c>
      <c r="D223" s="13" t="s">
        <v>34</v>
      </c>
      <c r="E223" s="13" t="s">
        <v>243</v>
      </c>
      <c r="F223" s="13"/>
      <c r="G223" s="13"/>
      <c r="H223" s="13">
        <v>1</v>
      </c>
      <c r="I223" s="66">
        <f t="shared" si="18"/>
        <v>1</v>
      </c>
      <c r="J223" s="15">
        <f t="shared" si="19"/>
        <v>603.72443200000009</v>
      </c>
      <c r="K223" s="15">
        <f t="shared" si="20"/>
        <v>603.72443200000009</v>
      </c>
      <c r="L223" s="13">
        <v>52001</v>
      </c>
      <c r="M223" s="13"/>
      <c r="N223" s="103"/>
      <c r="O223" s="13">
        <v>1.56</v>
      </c>
      <c r="P223" s="13">
        <v>1.74</v>
      </c>
      <c r="Q223" s="13">
        <v>3.83</v>
      </c>
      <c r="R223" s="13">
        <v>157.63040000000001</v>
      </c>
      <c r="S223" s="13"/>
    </row>
    <row r="224" spans="1:19" x14ac:dyDescent="0.25">
      <c r="A224" s="123" t="s">
        <v>5</v>
      </c>
      <c r="B224" s="123"/>
      <c r="C224" s="123"/>
      <c r="D224" s="123"/>
      <c r="E224" s="123"/>
      <c r="F224" s="123"/>
      <c r="G224" s="123"/>
      <c r="H224" s="123"/>
      <c r="I224" s="123"/>
      <c r="J224" s="123"/>
      <c r="K224" s="60">
        <f>SUM(K196:K223)</f>
        <v>69300.629055999976</v>
      </c>
      <c r="L224" s="13"/>
      <c r="M224" s="13"/>
      <c r="N224" s="103"/>
      <c r="O224" s="13"/>
      <c r="P224" s="13"/>
      <c r="Q224" s="13"/>
      <c r="R224" s="13"/>
      <c r="S224" s="13"/>
    </row>
    <row r="225" spans="1:19" x14ac:dyDescent="0.25">
      <c r="A225" s="123" t="s">
        <v>669</v>
      </c>
      <c r="B225" s="123"/>
      <c r="C225" s="123"/>
      <c r="D225" s="123"/>
      <c r="E225" s="123"/>
      <c r="F225" s="123"/>
      <c r="G225" s="123"/>
      <c r="H225" s="123"/>
      <c r="I225" s="123"/>
      <c r="J225" s="123"/>
      <c r="K225" s="15"/>
      <c r="L225" s="13"/>
      <c r="M225" s="13"/>
      <c r="N225" s="104"/>
      <c r="O225" s="13"/>
      <c r="P225" s="13"/>
      <c r="Q225" s="13"/>
      <c r="R225" s="13"/>
      <c r="S225" s="13"/>
    </row>
    <row r="226" spans="1:19" x14ac:dyDescent="0.25">
      <c r="A226" s="13"/>
      <c r="B226" s="14"/>
      <c r="C226" s="13"/>
      <c r="D226" s="13"/>
      <c r="E226" s="13"/>
      <c r="F226" s="13"/>
      <c r="G226" s="13"/>
      <c r="H226" s="13"/>
      <c r="I226" s="66"/>
      <c r="J226" s="13"/>
      <c r="K226" s="13"/>
      <c r="L226" s="13"/>
      <c r="M226" s="13"/>
      <c r="N226" s="13"/>
      <c r="O226" s="13"/>
      <c r="P226" s="13"/>
      <c r="Q226" s="13"/>
      <c r="R226" s="13"/>
      <c r="S226" s="13"/>
    </row>
    <row r="228" spans="1:19" x14ac:dyDescent="0.25">
      <c r="A228" s="132" t="s">
        <v>0</v>
      </c>
      <c r="B228" s="132"/>
      <c r="C228" s="132"/>
      <c r="D228" s="132"/>
      <c r="E228" s="132"/>
      <c r="F228" s="132"/>
      <c r="G228" s="132"/>
      <c r="H228" s="132"/>
      <c r="I228" s="132"/>
      <c r="J228" s="132"/>
      <c r="K228" s="132"/>
      <c r="L228" s="137" t="s">
        <v>1</v>
      </c>
      <c r="M228" s="1"/>
      <c r="N228" s="1"/>
      <c r="O228" s="1"/>
      <c r="P228" s="1"/>
      <c r="Q228" s="1"/>
      <c r="R228" s="134" t="s">
        <v>2</v>
      </c>
    </row>
    <row r="229" spans="1:19" x14ac:dyDescent="0.25">
      <c r="A229" s="135" t="s">
        <v>244</v>
      </c>
      <c r="B229" s="135"/>
      <c r="C229" s="135"/>
      <c r="D229" s="135"/>
      <c r="E229" s="135"/>
      <c r="F229" s="135"/>
      <c r="G229" s="135"/>
      <c r="H229" s="135"/>
      <c r="I229" s="135"/>
      <c r="J229" s="2" t="s">
        <v>5</v>
      </c>
      <c r="K229" s="136" t="s">
        <v>6</v>
      </c>
      <c r="L229" s="137"/>
      <c r="M229" s="138" t="s">
        <v>205</v>
      </c>
      <c r="N229" s="131" t="s">
        <v>7</v>
      </c>
      <c r="O229" s="3"/>
      <c r="P229" s="3"/>
      <c r="Q229" s="4"/>
      <c r="R229" s="134"/>
    </row>
    <row r="230" spans="1:19" x14ac:dyDescent="0.25">
      <c r="A230" s="5"/>
      <c r="B230" s="146" t="s">
        <v>140</v>
      </c>
      <c r="C230" s="147"/>
      <c r="D230" s="147"/>
      <c r="E230" s="148"/>
      <c r="F230" s="143" t="s">
        <v>9</v>
      </c>
      <c r="G230" s="143"/>
      <c r="H230" s="143"/>
      <c r="I230" s="64"/>
      <c r="J230" s="136" t="s">
        <v>10</v>
      </c>
      <c r="K230" s="136"/>
      <c r="L230" s="137"/>
      <c r="M230" s="138"/>
      <c r="N230" s="131"/>
      <c r="O230" s="144" t="s">
        <v>11</v>
      </c>
      <c r="P230" s="131" t="s">
        <v>12</v>
      </c>
      <c r="Q230" s="131" t="s">
        <v>13</v>
      </c>
      <c r="R230" s="134"/>
    </row>
    <row r="231" spans="1:19" ht="26.25" x14ac:dyDescent="0.25">
      <c r="A231" s="5" t="s">
        <v>14</v>
      </c>
      <c r="B231" s="8" t="s">
        <v>15</v>
      </c>
      <c r="C231" s="8" t="s">
        <v>16</v>
      </c>
      <c r="D231" s="8" t="s">
        <v>17</v>
      </c>
      <c r="E231" s="9" t="s">
        <v>18</v>
      </c>
      <c r="F231" s="10" t="s">
        <v>19</v>
      </c>
      <c r="G231" s="11" t="s">
        <v>20</v>
      </c>
      <c r="H231" s="12" t="s">
        <v>21</v>
      </c>
      <c r="I231" s="65" t="s">
        <v>22</v>
      </c>
      <c r="J231" s="136"/>
      <c r="K231" s="136"/>
      <c r="L231" s="137"/>
      <c r="M231" s="138"/>
      <c r="N231" s="131"/>
      <c r="O231" s="144"/>
      <c r="P231" s="131"/>
      <c r="Q231" s="131"/>
      <c r="R231" s="134"/>
    </row>
    <row r="232" spans="1:19" x14ac:dyDescent="0.25">
      <c r="A232" s="13">
        <v>1</v>
      </c>
      <c r="B232" s="13" t="s">
        <v>245</v>
      </c>
      <c r="C232" s="13" t="s">
        <v>246</v>
      </c>
      <c r="D232" s="13" t="s">
        <v>122</v>
      </c>
      <c r="E232" s="13" t="s">
        <v>202</v>
      </c>
      <c r="F232" s="13"/>
      <c r="G232" s="13"/>
      <c r="H232" s="13">
        <v>9</v>
      </c>
      <c r="I232" s="66">
        <f>SUM(F232:H232)</f>
        <v>9</v>
      </c>
      <c r="J232" s="15">
        <f>P232*R232</f>
        <v>2285.6408000000001</v>
      </c>
      <c r="K232" s="15">
        <f>J232*I232</f>
        <v>20570.767200000002</v>
      </c>
      <c r="L232" s="13">
        <v>101144</v>
      </c>
      <c r="M232" s="23">
        <v>46456</v>
      </c>
      <c r="N232" s="102" t="s">
        <v>679</v>
      </c>
      <c r="O232" s="13">
        <v>12.95</v>
      </c>
      <c r="P232" s="13">
        <v>14.5</v>
      </c>
      <c r="Q232" s="13">
        <v>10.69</v>
      </c>
      <c r="R232" s="13">
        <v>157.63040000000001</v>
      </c>
    </row>
    <row r="233" spans="1:19" x14ac:dyDescent="0.25">
      <c r="A233" s="13">
        <v>2</v>
      </c>
      <c r="B233" s="13" t="s">
        <v>247</v>
      </c>
      <c r="C233" s="13" t="s">
        <v>246</v>
      </c>
      <c r="D233" s="13" t="s">
        <v>122</v>
      </c>
      <c r="E233" s="13" t="s">
        <v>202</v>
      </c>
      <c r="F233" s="13"/>
      <c r="G233" s="13"/>
      <c r="H233" s="13">
        <v>11</v>
      </c>
      <c r="I233" s="66">
        <f t="shared" ref="I233:I236" si="21">SUM(F233:H233)</f>
        <v>11</v>
      </c>
      <c r="J233" s="15">
        <f t="shared" ref="J233:J236" si="22">P233*R233</f>
        <v>2285.6408000000001</v>
      </c>
      <c r="K233" s="15">
        <f t="shared" ref="K233:K236" si="23">J233*I233</f>
        <v>25142.0488</v>
      </c>
      <c r="L233" s="13">
        <v>101144</v>
      </c>
      <c r="M233" s="23">
        <v>46486</v>
      </c>
      <c r="N233" s="103"/>
      <c r="O233" s="13">
        <v>12.95</v>
      </c>
      <c r="P233" s="13">
        <v>14.5</v>
      </c>
      <c r="Q233" s="13">
        <v>10.69</v>
      </c>
      <c r="R233" s="13">
        <v>157.63040000000001</v>
      </c>
    </row>
    <row r="234" spans="1:19" x14ac:dyDescent="0.25">
      <c r="A234" s="13">
        <v>3</v>
      </c>
      <c r="B234" s="13" t="s">
        <v>248</v>
      </c>
      <c r="C234" s="13" t="s">
        <v>246</v>
      </c>
      <c r="D234" s="13" t="s">
        <v>122</v>
      </c>
      <c r="E234" s="13" t="s">
        <v>202</v>
      </c>
      <c r="F234" s="13"/>
      <c r="G234" s="13"/>
      <c r="H234" s="13">
        <v>1</v>
      </c>
      <c r="I234" s="66">
        <f t="shared" si="21"/>
        <v>1</v>
      </c>
      <c r="J234" s="15">
        <f t="shared" si="22"/>
        <v>1456.5048960000001</v>
      </c>
      <c r="K234" s="15">
        <f t="shared" si="23"/>
        <v>1456.5048960000001</v>
      </c>
      <c r="L234" s="13">
        <v>101144</v>
      </c>
      <c r="M234" s="13" t="s">
        <v>249</v>
      </c>
      <c r="N234" s="103"/>
      <c r="O234" s="13">
        <v>8.25</v>
      </c>
      <c r="P234" s="13">
        <v>9.24</v>
      </c>
      <c r="Q234" s="13">
        <v>6.81</v>
      </c>
      <c r="R234" s="13">
        <v>157.63040000000001</v>
      </c>
    </row>
    <row r="235" spans="1:19" x14ac:dyDescent="0.25">
      <c r="A235" s="13">
        <v>4</v>
      </c>
      <c r="B235" s="13" t="s">
        <v>250</v>
      </c>
      <c r="C235" s="13" t="s">
        <v>246</v>
      </c>
      <c r="D235" s="13" t="s">
        <v>122</v>
      </c>
      <c r="E235" s="13" t="s">
        <v>202</v>
      </c>
      <c r="F235" s="13"/>
      <c r="G235" s="13"/>
      <c r="H235" s="13">
        <v>3</v>
      </c>
      <c r="I235" s="66">
        <f t="shared" si="21"/>
        <v>3</v>
      </c>
      <c r="J235" s="15">
        <f t="shared" si="22"/>
        <v>1223.211904</v>
      </c>
      <c r="K235" s="15">
        <f t="shared" si="23"/>
        <v>3669.6357120000002</v>
      </c>
      <c r="L235" s="13">
        <v>101144</v>
      </c>
      <c r="M235" s="23">
        <v>47670</v>
      </c>
      <c r="N235" s="103"/>
      <c r="O235" s="13">
        <v>6.93</v>
      </c>
      <c r="P235" s="13">
        <v>7.76</v>
      </c>
      <c r="Q235" s="13">
        <v>5.72</v>
      </c>
      <c r="R235" s="13">
        <v>157.63040000000001</v>
      </c>
    </row>
    <row r="236" spans="1:19" ht="24.75" customHeight="1" x14ac:dyDescent="0.25">
      <c r="A236" s="13">
        <v>5</v>
      </c>
      <c r="B236" s="13" t="s">
        <v>251</v>
      </c>
      <c r="C236" s="13" t="s">
        <v>252</v>
      </c>
      <c r="D236" s="13" t="s">
        <v>122</v>
      </c>
      <c r="E236" s="13" t="s">
        <v>202</v>
      </c>
      <c r="F236" s="13"/>
      <c r="G236" s="13"/>
      <c r="H236" s="13">
        <v>1</v>
      </c>
      <c r="I236" s="66">
        <f t="shared" si="21"/>
        <v>1</v>
      </c>
      <c r="J236" s="15">
        <f t="shared" si="22"/>
        <v>1125.4810560000001</v>
      </c>
      <c r="K236" s="15">
        <f t="shared" si="23"/>
        <v>1125.4810560000001</v>
      </c>
      <c r="L236" s="13">
        <v>101145</v>
      </c>
      <c r="M236" s="13"/>
      <c r="N236" s="103"/>
      <c r="O236" s="13">
        <v>6.38</v>
      </c>
      <c r="P236" s="13">
        <v>7.14</v>
      </c>
      <c r="Q236" s="13">
        <v>5.27</v>
      </c>
      <c r="R236" s="13">
        <v>157.63040000000001</v>
      </c>
    </row>
    <row r="237" spans="1:19" x14ac:dyDescent="0.25">
      <c r="A237" s="123" t="s">
        <v>5</v>
      </c>
      <c r="B237" s="123"/>
      <c r="C237" s="123"/>
      <c r="D237" s="123"/>
      <c r="E237" s="123"/>
      <c r="F237" s="123"/>
      <c r="G237" s="123"/>
      <c r="H237" s="123"/>
      <c r="I237" s="123"/>
      <c r="J237" s="123"/>
      <c r="K237" s="60">
        <f>SUM(K232:K236)</f>
        <v>51964.437664000005</v>
      </c>
      <c r="L237" s="13"/>
      <c r="M237" s="13"/>
      <c r="N237" s="103"/>
      <c r="O237" s="13"/>
      <c r="P237" s="13"/>
      <c r="Q237" s="13"/>
      <c r="R237" s="13"/>
      <c r="S237" s="13"/>
    </row>
    <row r="238" spans="1:19" x14ac:dyDescent="0.25">
      <c r="A238" s="123" t="s">
        <v>669</v>
      </c>
      <c r="B238" s="123"/>
      <c r="C238" s="123"/>
      <c r="D238" s="123"/>
      <c r="E238" s="123"/>
      <c r="F238" s="123"/>
      <c r="G238" s="123"/>
      <c r="H238" s="123"/>
      <c r="I238" s="123"/>
      <c r="J238" s="123"/>
      <c r="K238" s="15"/>
      <c r="L238" s="13"/>
      <c r="M238" s="13"/>
      <c r="N238" s="104"/>
      <c r="O238" s="13"/>
      <c r="P238" s="13"/>
      <c r="Q238" s="13"/>
      <c r="R238" s="13"/>
      <c r="S238" s="13"/>
    </row>
    <row r="242" spans="1:17" x14ac:dyDescent="0.25">
      <c r="A242" s="132" t="s">
        <v>0</v>
      </c>
      <c r="B242" s="132"/>
      <c r="C242" s="132"/>
      <c r="D242" s="132"/>
      <c r="E242" s="132"/>
      <c r="F242" s="132"/>
      <c r="G242" s="132"/>
      <c r="H242" s="132"/>
      <c r="I242" s="132"/>
      <c r="J242" s="132"/>
      <c r="K242" s="132"/>
      <c r="L242" s="137" t="s">
        <v>1</v>
      </c>
      <c r="M242" s="1"/>
      <c r="N242" s="1"/>
      <c r="O242" s="1"/>
      <c r="P242" s="1"/>
      <c r="Q242" s="134" t="s">
        <v>2</v>
      </c>
    </row>
    <row r="243" spans="1:17" x14ac:dyDescent="0.25">
      <c r="A243" s="135" t="s">
        <v>253</v>
      </c>
      <c r="B243" s="135"/>
      <c r="C243" s="135"/>
      <c r="D243" s="135"/>
      <c r="E243" s="135"/>
      <c r="F243" s="135"/>
      <c r="G243" s="135"/>
      <c r="H243" s="135"/>
      <c r="I243" s="135"/>
      <c r="J243" s="2" t="s">
        <v>5</v>
      </c>
      <c r="K243" s="136" t="s">
        <v>6</v>
      </c>
      <c r="L243" s="137"/>
      <c r="M243" s="131" t="s">
        <v>7</v>
      </c>
      <c r="N243" s="3"/>
      <c r="O243" s="3"/>
      <c r="P243" s="4"/>
      <c r="Q243" s="134"/>
    </row>
    <row r="244" spans="1:17" x14ac:dyDescent="0.25">
      <c r="A244" s="5"/>
      <c r="B244" s="146" t="s">
        <v>140</v>
      </c>
      <c r="C244" s="147"/>
      <c r="D244" s="147"/>
      <c r="E244" s="148"/>
      <c r="F244" s="143" t="s">
        <v>9</v>
      </c>
      <c r="G244" s="143"/>
      <c r="H244" s="143"/>
      <c r="I244" s="64"/>
      <c r="J244" s="136" t="s">
        <v>254</v>
      </c>
      <c r="K244" s="136"/>
      <c r="L244" s="137"/>
      <c r="M244" s="131"/>
      <c r="N244" s="144" t="s">
        <v>11</v>
      </c>
      <c r="O244" s="131" t="s">
        <v>12</v>
      </c>
      <c r="P244" s="131" t="s">
        <v>13</v>
      </c>
      <c r="Q244" s="134"/>
    </row>
    <row r="245" spans="1:17" ht="26.25" x14ac:dyDescent="0.25">
      <c r="A245" s="5" t="s">
        <v>14</v>
      </c>
      <c r="B245" s="8" t="s">
        <v>15</v>
      </c>
      <c r="C245" s="8" t="s">
        <v>16</v>
      </c>
      <c r="D245" s="8" t="s">
        <v>17</v>
      </c>
      <c r="E245" s="9" t="s">
        <v>18</v>
      </c>
      <c r="F245" s="10" t="s">
        <v>19</v>
      </c>
      <c r="G245" s="11" t="s">
        <v>20</v>
      </c>
      <c r="H245" s="12" t="s">
        <v>21</v>
      </c>
      <c r="I245" s="65" t="s">
        <v>22</v>
      </c>
      <c r="J245" s="136"/>
      <c r="K245" s="136"/>
      <c r="L245" s="137"/>
      <c r="M245" s="131"/>
      <c r="N245" s="144"/>
      <c r="O245" s="131"/>
      <c r="P245" s="131"/>
      <c r="Q245" s="134"/>
    </row>
    <row r="246" spans="1:17" x14ac:dyDescent="0.25">
      <c r="A246" s="13">
        <v>1</v>
      </c>
      <c r="B246" s="13" t="s">
        <v>255</v>
      </c>
      <c r="C246" s="13" t="s">
        <v>36</v>
      </c>
      <c r="D246" s="13" t="s">
        <v>36</v>
      </c>
      <c r="E246" s="13" t="s">
        <v>26</v>
      </c>
      <c r="F246" s="13"/>
      <c r="G246" s="13"/>
      <c r="H246" s="13">
        <v>1</v>
      </c>
      <c r="I246" s="66">
        <f>SUM(F246:H246)</f>
        <v>1</v>
      </c>
      <c r="J246" s="15">
        <f>P246*Q246</f>
        <v>7834.230880000001</v>
      </c>
      <c r="K246" s="15">
        <f>J246*I246</f>
        <v>7834.230880000001</v>
      </c>
      <c r="L246" s="13">
        <v>101143</v>
      </c>
      <c r="M246" s="102" t="s">
        <v>680</v>
      </c>
      <c r="N246" s="13">
        <v>44.64</v>
      </c>
      <c r="O246" s="13">
        <v>49.1</v>
      </c>
      <c r="P246" s="19">
        <v>49.7</v>
      </c>
      <c r="Q246" s="13">
        <v>157.63040000000001</v>
      </c>
    </row>
    <row r="247" spans="1:17" x14ac:dyDescent="0.25">
      <c r="A247" s="13">
        <v>2</v>
      </c>
      <c r="B247" s="13" t="s">
        <v>256</v>
      </c>
      <c r="C247" s="13" t="s">
        <v>257</v>
      </c>
      <c r="D247" s="13" t="s">
        <v>31</v>
      </c>
      <c r="E247" s="13" t="s">
        <v>26</v>
      </c>
      <c r="F247" s="13"/>
      <c r="G247" s="13"/>
      <c r="H247" s="13">
        <v>4</v>
      </c>
      <c r="I247" s="66">
        <f t="shared" ref="I247:I267" si="24">SUM(F247:H247)</f>
        <v>4</v>
      </c>
      <c r="J247" s="15">
        <f t="shared" ref="J247:J267" si="25">O247*Q247</f>
        <v>5253.8212320000002</v>
      </c>
      <c r="K247" s="15">
        <f t="shared" ref="K247:K267" si="26">J247*I247</f>
        <v>21015.284928000001</v>
      </c>
      <c r="L247" s="13">
        <v>101143</v>
      </c>
      <c r="M247" s="103"/>
      <c r="N247" s="13">
        <v>29.76</v>
      </c>
      <c r="O247" s="13">
        <v>33.33</v>
      </c>
      <c r="P247" s="13">
        <v>33.119999999999997</v>
      </c>
      <c r="Q247" s="13">
        <v>157.63040000000001</v>
      </c>
    </row>
    <row r="248" spans="1:17" x14ac:dyDescent="0.25">
      <c r="A248" s="13">
        <v>3</v>
      </c>
      <c r="B248" s="13" t="s">
        <v>258</v>
      </c>
      <c r="C248" s="13" t="s">
        <v>257</v>
      </c>
      <c r="D248" s="13" t="s">
        <v>31</v>
      </c>
      <c r="E248" s="13" t="s">
        <v>26</v>
      </c>
      <c r="F248" s="13"/>
      <c r="G248" s="13"/>
      <c r="H248" s="13">
        <v>2</v>
      </c>
      <c r="I248" s="66">
        <f t="shared" si="24"/>
        <v>2</v>
      </c>
      <c r="J248" s="15">
        <f t="shared" si="25"/>
        <v>5745.6280800000004</v>
      </c>
      <c r="K248" s="15">
        <f t="shared" si="26"/>
        <v>11491.256160000001</v>
      </c>
      <c r="L248" s="13">
        <v>101143</v>
      </c>
      <c r="M248" s="103"/>
      <c r="N248" s="13">
        <v>32.549999999999997</v>
      </c>
      <c r="O248" s="13">
        <v>36.450000000000003</v>
      </c>
      <c r="P248" s="13">
        <v>36.22</v>
      </c>
      <c r="Q248" s="13">
        <v>157.63040000000001</v>
      </c>
    </row>
    <row r="249" spans="1:17" x14ac:dyDescent="0.25">
      <c r="A249" s="13">
        <v>4</v>
      </c>
      <c r="B249" s="13" t="s">
        <v>259</v>
      </c>
      <c r="C249" s="13" t="s">
        <v>260</v>
      </c>
      <c r="D249" s="13" t="s">
        <v>31</v>
      </c>
      <c r="E249" s="13" t="s">
        <v>26</v>
      </c>
      <c r="F249" s="13"/>
      <c r="G249" s="13"/>
      <c r="H249" s="13">
        <v>1</v>
      </c>
      <c r="I249" s="66">
        <f t="shared" si="24"/>
        <v>1</v>
      </c>
      <c r="J249" s="15">
        <f t="shared" si="25"/>
        <v>3798.8926400000005</v>
      </c>
      <c r="K249" s="15">
        <f t="shared" si="26"/>
        <v>3798.8926400000005</v>
      </c>
      <c r="L249" s="13">
        <v>101143</v>
      </c>
      <c r="M249" s="103"/>
      <c r="N249" s="13">
        <v>22.32</v>
      </c>
      <c r="O249" s="13">
        <v>24.1</v>
      </c>
      <c r="P249" s="13">
        <v>23.95</v>
      </c>
      <c r="Q249" s="13">
        <v>157.63040000000001</v>
      </c>
    </row>
    <row r="250" spans="1:17" x14ac:dyDescent="0.25">
      <c r="A250" s="13">
        <v>5</v>
      </c>
      <c r="B250" s="13" t="s">
        <v>255</v>
      </c>
      <c r="C250" s="13" t="s">
        <v>261</v>
      </c>
      <c r="D250" s="13" t="s">
        <v>31</v>
      </c>
      <c r="E250" s="13" t="s">
        <v>26</v>
      </c>
      <c r="F250" s="13"/>
      <c r="G250" s="13"/>
      <c r="H250" s="13">
        <v>1</v>
      </c>
      <c r="I250" s="66">
        <f t="shared" si="24"/>
        <v>1</v>
      </c>
      <c r="J250" s="15">
        <f>P250*Q250</f>
        <v>7834.230880000001</v>
      </c>
      <c r="K250" s="15">
        <f t="shared" si="26"/>
        <v>7834.230880000001</v>
      </c>
      <c r="L250" s="13">
        <v>101143</v>
      </c>
      <c r="M250" s="103"/>
      <c r="N250" s="13">
        <v>44.64</v>
      </c>
      <c r="O250" s="13">
        <v>49.1</v>
      </c>
      <c r="P250" s="19">
        <v>49.7</v>
      </c>
      <c r="Q250" s="13">
        <v>157.63040000000001</v>
      </c>
    </row>
    <row r="251" spans="1:17" x14ac:dyDescent="0.25">
      <c r="A251" s="13">
        <v>6</v>
      </c>
      <c r="B251" s="13" t="s">
        <v>258</v>
      </c>
      <c r="C251" s="13" t="s">
        <v>262</v>
      </c>
      <c r="D251" s="13" t="s">
        <v>31</v>
      </c>
      <c r="E251" s="13" t="s">
        <v>26</v>
      </c>
      <c r="F251" s="13"/>
      <c r="G251" s="13"/>
      <c r="H251" s="13">
        <v>4</v>
      </c>
      <c r="I251" s="66">
        <f t="shared" si="24"/>
        <v>4</v>
      </c>
      <c r="J251" s="15">
        <f t="shared" si="25"/>
        <v>5745.6280800000004</v>
      </c>
      <c r="K251" s="15">
        <f t="shared" si="26"/>
        <v>22982.512320000002</v>
      </c>
      <c r="L251" s="13">
        <v>101143</v>
      </c>
      <c r="M251" s="103"/>
      <c r="N251" s="13">
        <v>32.549999999999997</v>
      </c>
      <c r="O251" s="13">
        <v>36.450000000000003</v>
      </c>
      <c r="P251" s="13">
        <v>36.22</v>
      </c>
      <c r="Q251" s="13">
        <v>157.63040000000001</v>
      </c>
    </row>
    <row r="252" spans="1:17" x14ac:dyDescent="0.25">
      <c r="A252" s="13">
        <v>7</v>
      </c>
      <c r="B252" s="13" t="s">
        <v>259</v>
      </c>
      <c r="C252" s="13" t="s">
        <v>261</v>
      </c>
      <c r="D252" s="13" t="s">
        <v>31</v>
      </c>
      <c r="E252" s="13" t="s">
        <v>26</v>
      </c>
      <c r="F252" s="13"/>
      <c r="G252" s="13"/>
      <c r="H252" s="13">
        <v>2</v>
      </c>
      <c r="I252" s="66">
        <f t="shared" si="24"/>
        <v>2</v>
      </c>
      <c r="J252" s="15">
        <f t="shared" si="25"/>
        <v>3798.8926400000005</v>
      </c>
      <c r="K252" s="15">
        <f t="shared" si="26"/>
        <v>7597.785280000001</v>
      </c>
      <c r="L252" s="13">
        <v>101143</v>
      </c>
      <c r="M252" s="103"/>
      <c r="N252" s="13">
        <v>22.32</v>
      </c>
      <c r="O252" s="13">
        <v>24.1</v>
      </c>
      <c r="P252" s="13">
        <v>23.95</v>
      </c>
      <c r="Q252" s="13">
        <v>157.63040000000001</v>
      </c>
    </row>
    <row r="253" spans="1:17" x14ac:dyDescent="0.25">
      <c r="A253" s="13">
        <v>8</v>
      </c>
      <c r="B253" s="13" t="s">
        <v>258</v>
      </c>
      <c r="C253" s="13" t="s">
        <v>263</v>
      </c>
      <c r="D253" s="13" t="s">
        <v>31</v>
      </c>
      <c r="E253" s="13" t="s">
        <v>26</v>
      </c>
      <c r="F253" s="13"/>
      <c r="G253" s="13"/>
      <c r="H253" s="13">
        <v>6</v>
      </c>
      <c r="I253" s="66">
        <f t="shared" si="24"/>
        <v>6</v>
      </c>
      <c r="J253" s="15">
        <f t="shared" si="25"/>
        <v>5745.6280800000004</v>
      </c>
      <c r="K253" s="15">
        <f t="shared" si="26"/>
        <v>34473.768479999999</v>
      </c>
      <c r="L253" s="13">
        <v>101143</v>
      </c>
      <c r="M253" s="103"/>
      <c r="N253" s="13">
        <v>32.549999999999997</v>
      </c>
      <c r="O253" s="13">
        <v>36.450000000000003</v>
      </c>
      <c r="P253" s="13">
        <v>36.22</v>
      </c>
      <c r="Q253" s="13">
        <v>157.63040000000001</v>
      </c>
    </row>
    <row r="254" spans="1:17" x14ac:dyDescent="0.25">
      <c r="A254" s="13">
        <v>9</v>
      </c>
      <c r="B254" s="13" t="s">
        <v>259</v>
      </c>
      <c r="C254" s="13" t="s">
        <v>264</v>
      </c>
      <c r="D254" s="13" t="s">
        <v>122</v>
      </c>
      <c r="E254" s="13" t="s">
        <v>26</v>
      </c>
      <c r="F254" s="13"/>
      <c r="G254" s="13"/>
      <c r="H254" s="13">
        <v>1</v>
      </c>
      <c r="I254" s="66">
        <f t="shared" si="24"/>
        <v>1</v>
      </c>
      <c r="J254" s="15">
        <f t="shared" si="25"/>
        <v>4724.1830879999998</v>
      </c>
      <c r="K254" s="15">
        <f t="shared" si="26"/>
        <v>4724.1830879999998</v>
      </c>
      <c r="L254" s="13">
        <v>101143</v>
      </c>
      <c r="M254" s="103"/>
      <c r="N254" s="13">
        <v>26.76</v>
      </c>
      <c r="O254" s="13">
        <v>29.97</v>
      </c>
      <c r="P254" s="13">
        <v>29.78</v>
      </c>
      <c r="Q254" s="13">
        <v>157.63040000000001</v>
      </c>
    </row>
    <row r="255" spans="1:17" x14ac:dyDescent="0.25">
      <c r="A255" s="13">
        <v>10</v>
      </c>
      <c r="B255" s="13" t="s">
        <v>259</v>
      </c>
      <c r="C255" s="13" t="s">
        <v>265</v>
      </c>
      <c r="D255" s="13" t="s">
        <v>122</v>
      </c>
      <c r="E255" s="13" t="s">
        <v>26</v>
      </c>
      <c r="F255" s="13"/>
      <c r="G255" s="13"/>
      <c r="H255" s="13">
        <v>1</v>
      </c>
      <c r="I255" s="66">
        <f t="shared" si="24"/>
        <v>1</v>
      </c>
      <c r="J255" s="15">
        <f t="shared" si="25"/>
        <v>4724.1830879999998</v>
      </c>
      <c r="K255" s="15">
        <f t="shared" si="26"/>
        <v>4724.1830879999998</v>
      </c>
      <c r="L255" s="13">
        <v>101143</v>
      </c>
      <c r="M255" s="103"/>
      <c r="N255" s="13">
        <v>26.76</v>
      </c>
      <c r="O255" s="13">
        <v>29.97</v>
      </c>
      <c r="P255" s="13">
        <v>29.78</v>
      </c>
      <c r="Q255" s="13">
        <v>157.63040000000001</v>
      </c>
    </row>
    <row r="256" spans="1:17" x14ac:dyDescent="0.25">
      <c r="A256" s="13">
        <v>11</v>
      </c>
      <c r="B256" s="13" t="s">
        <v>255</v>
      </c>
      <c r="C256" s="13" t="s">
        <v>266</v>
      </c>
      <c r="D256" s="13" t="s">
        <v>122</v>
      </c>
      <c r="E256" s="13" t="s">
        <v>26</v>
      </c>
      <c r="F256" s="13"/>
      <c r="G256" s="13"/>
      <c r="H256" s="13">
        <v>1</v>
      </c>
      <c r="I256" s="66">
        <f t="shared" si="24"/>
        <v>1</v>
      </c>
      <c r="J256" s="15">
        <f t="shared" si="25"/>
        <v>9448.3661759999995</v>
      </c>
      <c r="K256" s="15">
        <f t="shared" si="26"/>
        <v>9448.3661759999995</v>
      </c>
      <c r="L256" s="13">
        <v>101143</v>
      </c>
      <c r="M256" s="103"/>
      <c r="N256" s="13">
        <v>53.52</v>
      </c>
      <c r="O256" s="13">
        <v>59.94</v>
      </c>
      <c r="P256" s="13">
        <v>59.57</v>
      </c>
      <c r="Q256" s="13">
        <v>157.63040000000001</v>
      </c>
    </row>
    <row r="257" spans="1:19" x14ac:dyDescent="0.25">
      <c r="A257" s="13">
        <v>12</v>
      </c>
      <c r="B257" s="13" t="s">
        <v>255</v>
      </c>
      <c r="C257" s="13" t="s">
        <v>36</v>
      </c>
      <c r="D257" s="13" t="s">
        <v>122</v>
      </c>
      <c r="E257" s="13" t="s">
        <v>26</v>
      </c>
      <c r="F257" s="13"/>
      <c r="G257" s="13"/>
      <c r="H257" s="13">
        <v>3</v>
      </c>
      <c r="I257" s="66">
        <f t="shared" si="24"/>
        <v>3</v>
      </c>
      <c r="J257" s="15">
        <f t="shared" si="25"/>
        <v>9448.3661759999995</v>
      </c>
      <c r="K257" s="15">
        <f t="shared" si="26"/>
        <v>28345.098527999999</v>
      </c>
      <c r="L257" s="13">
        <v>101143</v>
      </c>
      <c r="M257" s="103"/>
      <c r="N257" s="13">
        <v>53.52</v>
      </c>
      <c r="O257" s="13">
        <v>59.94</v>
      </c>
      <c r="P257" s="13">
        <v>59.57</v>
      </c>
      <c r="Q257" s="13">
        <v>157.63040000000001</v>
      </c>
    </row>
    <row r="258" spans="1:19" x14ac:dyDescent="0.25">
      <c r="A258" s="13">
        <v>13</v>
      </c>
      <c r="B258" s="13" t="s">
        <v>259</v>
      </c>
      <c r="C258" s="13" t="s">
        <v>36</v>
      </c>
      <c r="D258" s="13" t="s">
        <v>31</v>
      </c>
      <c r="E258" s="13" t="s">
        <v>26</v>
      </c>
      <c r="F258" s="13"/>
      <c r="G258" s="13"/>
      <c r="H258" s="13">
        <v>2</v>
      </c>
      <c r="I258" s="66">
        <f t="shared" si="24"/>
        <v>2</v>
      </c>
      <c r="J258" s="15">
        <f t="shared" si="25"/>
        <v>3798.8926400000005</v>
      </c>
      <c r="K258" s="15">
        <f t="shared" si="26"/>
        <v>7597.785280000001</v>
      </c>
      <c r="L258" s="13">
        <v>101143</v>
      </c>
      <c r="M258" s="103"/>
      <c r="N258" s="13">
        <v>22.32</v>
      </c>
      <c r="O258" s="13">
        <v>24.1</v>
      </c>
      <c r="P258" s="13">
        <v>23.95</v>
      </c>
      <c r="Q258" s="13">
        <v>157.63040000000001</v>
      </c>
    </row>
    <row r="259" spans="1:19" x14ac:dyDescent="0.25">
      <c r="A259" s="13">
        <v>14</v>
      </c>
      <c r="B259" s="13" t="s">
        <v>259</v>
      </c>
      <c r="C259" s="13" t="s">
        <v>267</v>
      </c>
      <c r="D259" s="13" t="s">
        <v>31</v>
      </c>
      <c r="E259" s="13" t="s">
        <v>26</v>
      </c>
      <c r="F259" s="13"/>
      <c r="G259" s="13"/>
      <c r="H259" s="13">
        <v>2</v>
      </c>
      <c r="I259" s="66">
        <f t="shared" si="24"/>
        <v>2</v>
      </c>
      <c r="J259" s="15">
        <f t="shared" si="25"/>
        <v>3798.8926400000005</v>
      </c>
      <c r="K259" s="15">
        <f t="shared" si="26"/>
        <v>7597.785280000001</v>
      </c>
      <c r="L259" s="13">
        <v>101144</v>
      </c>
      <c r="M259" s="103"/>
      <c r="N259" s="13">
        <v>22.32</v>
      </c>
      <c r="O259" s="13">
        <v>24.1</v>
      </c>
      <c r="P259" s="13">
        <v>23.95</v>
      </c>
      <c r="Q259" s="13">
        <v>157.63040000000001</v>
      </c>
    </row>
    <row r="260" spans="1:19" x14ac:dyDescent="0.25">
      <c r="A260" s="13">
        <v>15</v>
      </c>
      <c r="B260" s="13" t="s">
        <v>259</v>
      </c>
      <c r="C260" s="13" t="s">
        <v>36</v>
      </c>
      <c r="D260" s="13" t="s">
        <v>122</v>
      </c>
      <c r="E260" s="13" t="s">
        <v>26</v>
      </c>
      <c r="F260" s="13"/>
      <c r="G260" s="13"/>
      <c r="H260" s="13">
        <v>1</v>
      </c>
      <c r="I260" s="66">
        <f t="shared" si="24"/>
        <v>1</v>
      </c>
      <c r="J260" s="15">
        <f t="shared" si="25"/>
        <v>4724.1830879999998</v>
      </c>
      <c r="K260" s="15">
        <f t="shared" si="26"/>
        <v>4724.1830879999998</v>
      </c>
      <c r="L260" s="13">
        <v>101144</v>
      </c>
      <c r="M260" s="103"/>
      <c r="N260" s="13">
        <v>26.76</v>
      </c>
      <c r="O260" s="13">
        <v>29.97</v>
      </c>
      <c r="P260" s="13">
        <v>29.78</v>
      </c>
      <c r="Q260" s="13">
        <v>157.63040000000001</v>
      </c>
    </row>
    <row r="261" spans="1:19" x14ac:dyDescent="0.25">
      <c r="A261" s="13">
        <v>16</v>
      </c>
      <c r="B261" s="13" t="s">
        <v>268</v>
      </c>
      <c r="C261" s="13" t="s">
        <v>36</v>
      </c>
      <c r="D261" s="13" t="s">
        <v>31</v>
      </c>
      <c r="E261" s="13" t="s">
        <v>26</v>
      </c>
      <c r="F261" s="13"/>
      <c r="G261" s="13"/>
      <c r="H261" s="13">
        <v>20</v>
      </c>
      <c r="I261" s="66">
        <f t="shared" si="24"/>
        <v>20</v>
      </c>
      <c r="J261" s="15">
        <f t="shared" si="25"/>
        <v>372.007744</v>
      </c>
      <c r="K261" s="15">
        <f t="shared" si="26"/>
        <v>7440.15488</v>
      </c>
      <c r="L261" s="13">
        <v>101144</v>
      </c>
      <c r="M261" s="103"/>
      <c r="N261" s="13">
        <v>2.11</v>
      </c>
      <c r="O261" s="13">
        <v>2.36</v>
      </c>
      <c r="P261" s="13">
        <v>2.34</v>
      </c>
      <c r="Q261" s="13">
        <v>157.63040000000001</v>
      </c>
    </row>
    <row r="262" spans="1:19" x14ac:dyDescent="0.25">
      <c r="A262" s="13">
        <v>17</v>
      </c>
      <c r="B262" s="13" t="s">
        <v>268</v>
      </c>
      <c r="C262" s="13" t="s">
        <v>269</v>
      </c>
      <c r="D262" s="13" t="s">
        <v>31</v>
      </c>
      <c r="E262" s="13" t="s">
        <v>26</v>
      </c>
      <c r="F262" s="13"/>
      <c r="G262" s="13"/>
      <c r="H262" s="13">
        <v>3</v>
      </c>
      <c r="I262" s="66">
        <f t="shared" si="24"/>
        <v>3</v>
      </c>
      <c r="J262" s="15">
        <f t="shared" si="25"/>
        <v>372.007744</v>
      </c>
      <c r="K262" s="15">
        <f t="shared" si="26"/>
        <v>1116.023232</v>
      </c>
      <c r="L262" s="13">
        <v>101144</v>
      </c>
      <c r="M262" s="103"/>
      <c r="N262" s="13">
        <v>2.11</v>
      </c>
      <c r="O262" s="13">
        <v>2.36</v>
      </c>
      <c r="P262" s="13">
        <v>2.34</v>
      </c>
      <c r="Q262" s="13">
        <v>157.63040000000001</v>
      </c>
    </row>
    <row r="263" spans="1:19" x14ac:dyDescent="0.25">
      <c r="A263" s="13">
        <v>18</v>
      </c>
      <c r="B263" s="13" t="s">
        <v>270</v>
      </c>
      <c r="C263" s="13" t="s">
        <v>36</v>
      </c>
      <c r="D263" s="13" t="s">
        <v>122</v>
      </c>
      <c r="E263" s="13" t="s">
        <v>26</v>
      </c>
      <c r="F263" s="13"/>
      <c r="G263" s="13"/>
      <c r="H263" s="13">
        <v>11</v>
      </c>
      <c r="I263" s="66">
        <f t="shared" si="24"/>
        <v>11</v>
      </c>
      <c r="J263" s="15">
        <f t="shared" si="25"/>
        <v>372.007744</v>
      </c>
      <c r="K263" s="15">
        <f t="shared" si="26"/>
        <v>4092.085184</v>
      </c>
      <c r="L263" s="13">
        <v>101144</v>
      </c>
      <c r="M263" s="103"/>
      <c r="N263" s="13">
        <v>2.11</v>
      </c>
      <c r="O263" s="13">
        <v>2.36</v>
      </c>
      <c r="P263" s="13">
        <v>2.34</v>
      </c>
      <c r="Q263" s="13">
        <v>157.63040000000001</v>
      </c>
    </row>
    <row r="264" spans="1:19" x14ac:dyDescent="0.25">
      <c r="A264" s="13">
        <v>19</v>
      </c>
      <c r="B264" s="13" t="s">
        <v>268</v>
      </c>
      <c r="C264" s="13" t="s">
        <v>271</v>
      </c>
      <c r="D264" s="13" t="s">
        <v>122</v>
      </c>
      <c r="E264" s="13" t="s">
        <v>26</v>
      </c>
      <c r="F264" s="13"/>
      <c r="G264" s="13"/>
      <c r="H264" s="13">
        <v>2</v>
      </c>
      <c r="I264" s="66">
        <f t="shared" si="24"/>
        <v>2</v>
      </c>
      <c r="J264" s="15">
        <f t="shared" si="25"/>
        <v>372.007744</v>
      </c>
      <c r="K264" s="15">
        <f t="shared" si="26"/>
        <v>744.015488</v>
      </c>
      <c r="L264" s="13">
        <v>101144</v>
      </c>
      <c r="M264" s="103"/>
      <c r="N264" s="13">
        <v>2.11</v>
      </c>
      <c r="O264" s="13">
        <v>2.36</v>
      </c>
      <c r="P264" s="13">
        <v>2.34</v>
      </c>
      <c r="Q264" s="13">
        <v>157.63040000000001</v>
      </c>
    </row>
    <row r="265" spans="1:19" x14ac:dyDescent="0.25">
      <c r="A265" s="13">
        <v>20</v>
      </c>
      <c r="B265" s="13" t="s">
        <v>270</v>
      </c>
      <c r="C265" s="13" t="s">
        <v>266</v>
      </c>
      <c r="D265" s="13" t="s">
        <v>122</v>
      </c>
      <c r="E265" s="13" t="s">
        <v>26</v>
      </c>
      <c r="F265" s="13"/>
      <c r="G265" s="13"/>
      <c r="H265" s="13">
        <v>6</v>
      </c>
      <c r="I265" s="66">
        <f t="shared" si="24"/>
        <v>6</v>
      </c>
      <c r="J265" s="15">
        <f t="shared" si="25"/>
        <v>372.007744</v>
      </c>
      <c r="K265" s="15">
        <f t="shared" si="26"/>
        <v>2232.046464</v>
      </c>
      <c r="L265" s="13">
        <v>101144</v>
      </c>
      <c r="M265" s="103"/>
      <c r="N265" s="13">
        <v>2.11</v>
      </c>
      <c r="O265" s="13">
        <v>2.36</v>
      </c>
      <c r="P265" s="13">
        <v>2.34</v>
      </c>
      <c r="Q265" s="13">
        <v>157.63040000000001</v>
      </c>
    </row>
    <row r="266" spans="1:19" x14ac:dyDescent="0.25">
      <c r="A266" s="13">
        <v>21</v>
      </c>
      <c r="B266" s="13" t="s">
        <v>270</v>
      </c>
      <c r="C266" s="13" t="s">
        <v>272</v>
      </c>
      <c r="D266" s="13" t="s">
        <v>122</v>
      </c>
      <c r="E266" s="13" t="s">
        <v>26</v>
      </c>
      <c r="F266" s="13"/>
      <c r="G266" s="13"/>
      <c r="H266" s="13">
        <v>3</v>
      </c>
      <c r="I266" s="66">
        <f t="shared" si="24"/>
        <v>3</v>
      </c>
      <c r="J266" s="15">
        <f t="shared" si="25"/>
        <v>372.007744</v>
      </c>
      <c r="K266" s="15">
        <f t="shared" si="26"/>
        <v>1116.023232</v>
      </c>
      <c r="L266" s="13">
        <v>101144</v>
      </c>
      <c r="M266" s="103"/>
      <c r="N266" s="13">
        <v>2.11</v>
      </c>
      <c r="O266" s="13">
        <v>2.36</v>
      </c>
      <c r="P266" s="13">
        <v>2.34</v>
      </c>
      <c r="Q266" s="13">
        <v>157.63040000000001</v>
      </c>
    </row>
    <row r="267" spans="1:19" x14ac:dyDescent="0.25">
      <c r="A267" s="13">
        <v>22</v>
      </c>
      <c r="B267" s="13" t="s">
        <v>270</v>
      </c>
      <c r="C267" s="13" t="s">
        <v>273</v>
      </c>
      <c r="D267" s="13" t="s">
        <v>122</v>
      </c>
      <c r="E267" s="13" t="s">
        <v>26</v>
      </c>
      <c r="F267" s="13"/>
      <c r="G267" s="13"/>
      <c r="H267" s="13">
        <v>1</v>
      </c>
      <c r="I267" s="66">
        <f t="shared" si="24"/>
        <v>1</v>
      </c>
      <c r="J267" s="15">
        <f t="shared" si="25"/>
        <v>372.007744</v>
      </c>
      <c r="K267" s="15">
        <f t="shared" si="26"/>
        <v>372.007744</v>
      </c>
      <c r="L267" s="13">
        <v>101144</v>
      </c>
      <c r="M267" s="103"/>
      <c r="N267" s="13">
        <v>2.11</v>
      </c>
      <c r="O267" s="13">
        <v>2.36</v>
      </c>
      <c r="P267" s="13">
        <v>2.34</v>
      </c>
      <c r="Q267" s="13">
        <v>157.63040000000001</v>
      </c>
    </row>
    <row r="268" spans="1:19" x14ac:dyDescent="0.25">
      <c r="A268" s="123" t="s">
        <v>5</v>
      </c>
      <c r="B268" s="123"/>
      <c r="C268" s="123"/>
      <c r="D268" s="123"/>
      <c r="E268" s="123"/>
      <c r="F268" s="123"/>
      <c r="G268" s="123"/>
      <c r="H268" s="123"/>
      <c r="I268" s="123"/>
      <c r="J268" s="123"/>
      <c r="K268" s="60">
        <f>SUM(K246:K267)</f>
        <v>201301.90232000005</v>
      </c>
      <c r="L268" s="13"/>
      <c r="M268" s="103"/>
      <c r="N268" s="13"/>
      <c r="O268" s="13"/>
      <c r="P268" s="13"/>
      <c r="Q268" s="13"/>
      <c r="R268" s="13"/>
      <c r="S268" s="13"/>
    </row>
    <row r="269" spans="1:19" x14ac:dyDescent="0.25">
      <c r="A269" s="123" t="s">
        <v>669</v>
      </c>
      <c r="B269" s="123"/>
      <c r="C269" s="123"/>
      <c r="D269" s="123"/>
      <c r="E269" s="123"/>
      <c r="F269" s="123"/>
      <c r="G269" s="123"/>
      <c r="H269" s="123"/>
      <c r="I269" s="123"/>
      <c r="J269" s="123"/>
      <c r="K269" s="15"/>
      <c r="L269" s="13"/>
      <c r="M269" s="104"/>
      <c r="N269" s="13"/>
      <c r="O269" s="13"/>
      <c r="P269" s="13"/>
      <c r="Q269" s="13"/>
      <c r="R269" s="13"/>
      <c r="S269" s="13"/>
    </row>
    <row r="273" spans="1:19" x14ac:dyDescent="0.25">
      <c r="A273" s="132" t="s">
        <v>0</v>
      </c>
      <c r="B273" s="132"/>
      <c r="C273" s="132"/>
      <c r="D273" s="132"/>
      <c r="E273" s="132"/>
      <c r="F273" s="132"/>
      <c r="G273" s="132"/>
      <c r="H273" s="132"/>
      <c r="I273" s="132"/>
      <c r="J273" s="132"/>
      <c r="K273" s="132"/>
      <c r="L273" s="137" t="s">
        <v>1</v>
      </c>
      <c r="M273" s="1"/>
      <c r="N273" s="1"/>
      <c r="O273" s="1"/>
      <c r="P273" s="1"/>
      <c r="Q273" s="134" t="s">
        <v>2</v>
      </c>
    </row>
    <row r="274" spans="1:19" x14ac:dyDescent="0.25">
      <c r="A274" s="135" t="s">
        <v>274</v>
      </c>
      <c r="B274" s="135"/>
      <c r="C274" s="135"/>
      <c r="D274" s="135"/>
      <c r="E274" s="135"/>
      <c r="F274" s="135"/>
      <c r="G274" s="135"/>
      <c r="H274" s="135"/>
      <c r="I274" s="135"/>
      <c r="J274" s="2" t="s">
        <v>5</v>
      </c>
      <c r="K274" s="136" t="s">
        <v>6</v>
      </c>
      <c r="L274" s="137"/>
      <c r="M274" s="131" t="s">
        <v>7</v>
      </c>
      <c r="N274" s="3"/>
      <c r="O274" s="3"/>
      <c r="P274" s="4"/>
      <c r="Q274" s="134"/>
    </row>
    <row r="275" spans="1:19" x14ac:dyDescent="0.25">
      <c r="A275" s="5"/>
      <c r="B275" s="146" t="s">
        <v>140</v>
      </c>
      <c r="C275" s="147"/>
      <c r="D275" s="147"/>
      <c r="E275" s="148"/>
      <c r="F275" s="143" t="s">
        <v>9</v>
      </c>
      <c r="G275" s="143"/>
      <c r="H275" s="143"/>
      <c r="I275" s="64"/>
      <c r="J275" s="136" t="s">
        <v>10</v>
      </c>
      <c r="K275" s="136"/>
      <c r="L275" s="137"/>
      <c r="M275" s="131"/>
      <c r="N275" s="144" t="s">
        <v>11</v>
      </c>
      <c r="O275" s="131" t="s">
        <v>12</v>
      </c>
      <c r="P275" s="131" t="s">
        <v>13</v>
      </c>
      <c r="Q275" s="134"/>
    </row>
    <row r="276" spans="1:19" ht="26.25" x14ac:dyDescent="0.25">
      <c r="A276" s="5" t="s">
        <v>14</v>
      </c>
      <c r="B276" s="8" t="s">
        <v>15</v>
      </c>
      <c r="C276" s="8" t="s">
        <v>16</v>
      </c>
      <c r="D276" s="8" t="s">
        <v>17</v>
      </c>
      <c r="E276" s="9" t="s">
        <v>18</v>
      </c>
      <c r="F276" s="10" t="s">
        <v>19</v>
      </c>
      <c r="G276" s="11" t="s">
        <v>20</v>
      </c>
      <c r="H276" s="12" t="s">
        <v>21</v>
      </c>
      <c r="I276" s="65" t="s">
        <v>22</v>
      </c>
      <c r="J276" s="136"/>
      <c r="K276" s="136"/>
      <c r="L276" s="137"/>
      <c r="M276" s="131"/>
      <c r="N276" s="144"/>
      <c r="O276" s="131"/>
      <c r="P276" s="131"/>
      <c r="Q276" s="134"/>
    </row>
    <row r="277" spans="1:19" x14ac:dyDescent="0.25">
      <c r="A277" s="13">
        <v>1</v>
      </c>
      <c r="B277" s="13" t="s">
        <v>275</v>
      </c>
      <c r="C277" s="13" t="s">
        <v>276</v>
      </c>
      <c r="D277" s="13" t="s">
        <v>34</v>
      </c>
      <c r="E277" s="13" t="s">
        <v>26</v>
      </c>
      <c r="F277" s="13"/>
      <c r="G277" s="13"/>
      <c r="H277" s="13">
        <v>2</v>
      </c>
      <c r="I277" s="66">
        <f>SUM(F277:H277)</f>
        <v>2</v>
      </c>
      <c r="J277" s="15">
        <f>O277*Q277</f>
        <v>523.33292800000004</v>
      </c>
      <c r="K277" s="15">
        <f>J277*I277</f>
        <v>1046.6658560000001</v>
      </c>
      <c r="L277" s="13">
        <v>52014</v>
      </c>
      <c r="M277" s="102" t="s">
        <v>681</v>
      </c>
      <c r="N277" s="13">
        <v>2.96</v>
      </c>
      <c r="O277" s="13">
        <v>3.32</v>
      </c>
      <c r="P277" s="13">
        <v>2.44</v>
      </c>
      <c r="Q277" s="13">
        <v>157.63040000000001</v>
      </c>
    </row>
    <row r="278" spans="1:19" x14ac:dyDescent="0.25">
      <c r="A278" s="13">
        <v>2</v>
      </c>
      <c r="B278" s="13" t="s">
        <v>277</v>
      </c>
      <c r="C278" s="13" t="s">
        <v>276</v>
      </c>
      <c r="D278" s="13" t="s">
        <v>34</v>
      </c>
      <c r="E278" s="13" t="s">
        <v>84</v>
      </c>
      <c r="F278" s="13"/>
      <c r="G278" s="13"/>
      <c r="H278" s="13">
        <v>1</v>
      </c>
      <c r="I278" s="66">
        <f t="shared" ref="I278:I282" si="27">SUM(F278:H278)</f>
        <v>1</v>
      </c>
      <c r="J278" s="15">
        <f t="shared" ref="J278:J282" si="28">O278*Q278</f>
        <v>2621.393552</v>
      </c>
      <c r="K278" s="15">
        <f t="shared" ref="K278:K282" si="29">J278*I278</f>
        <v>2621.393552</v>
      </c>
      <c r="L278" s="13">
        <v>52015</v>
      </c>
      <c r="M278" s="103"/>
      <c r="N278" s="13">
        <v>14.85</v>
      </c>
      <c r="O278" s="13">
        <v>16.63</v>
      </c>
      <c r="P278" s="13">
        <v>12.27</v>
      </c>
      <c r="Q278" s="13">
        <v>157.63040000000001</v>
      </c>
    </row>
    <row r="279" spans="1:19" x14ac:dyDescent="0.25">
      <c r="A279" s="13">
        <v>3</v>
      </c>
      <c r="B279" s="13" t="s">
        <v>278</v>
      </c>
      <c r="C279" s="13" t="s">
        <v>276</v>
      </c>
      <c r="D279" s="13" t="s">
        <v>34</v>
      </c>
      <c r="E279" s="13" t="s">
        <v>26</v>
      </c>
      <c r="F279" s="13"/>
      <c r="G279" s="13"/>
      <c r="H279" s="13">
        <v>1</v>
      </c>
      <c r="I279" s="66">
        <f t="shared" si="27"/>
        <v>1</v>
      </c>
      <c r="J279" s="15">
        <f t="shared" si="28"/>
        <v>3351.2223040000003</v>
      </c>
      <c r="K279" s="15">
        <f t="shared" si="29"/>
        <v>3351.2223040000003</v>
      </c>
      <c r="L279" s="13">
        <v>52015</v>
      </c>
      <c r="M279" s="103"/>
      <c r="N279" s="13">
        <v>18.98</v>
      </c>
      <c r="O279" s="13">
        <v>21.26</v>
      </c>
      <c r="P279" s="13">
        <v>13</v>
      </c>
      <c r="Q279" s="13">
        <v>157.63040000000001</v>
      </c>
    </row>
    <row r="280" spans="1:19" x14ac:dyDescent="0.25">
      <c r="A280" s="13">
        <v>4</v>
      </c>
      <c r="B280" s="16" t="s">
        <v>279</v>
      </c>
      <c r="C280" s="13" t="s">
        <v>276</v>
      </c>
      <c r="D280" s="13" t="s">
        <v>34</v>
      </c>
      <c r="E280" s="13" t="s">
        <v>84</v>
      </c>
      <c r="F280" s="13"/>
      <c r="G280" s="13"/>
      <c r="H280" s="13">
        <v>3</v>
      </c>
      <c r="I280" s="66">
        <f t="shared" si="27"/>
        <v>3</v>
      </c>
      <c r="J280" s="15">
        <f t="shared" si="28"/>
        <v>417.72056000000003</v>
      </c>
      <c r="K280" s="15">
        <f t="shared" si="29"/>
        <v>1253.1616800000002</v>
      </c>
      <c r="L280" s="13">
        <v>52015</v>
      </c>
      <c r="M280" s="103"/>
      <c r="N280" s="13">
        <v>2.37</v>
      </c>
      <c r="O280" s="13">
        <v>2.65</v>
      </c>
      <c r="P280" s="13">
        <v>1.95</v>
      </c>
      <c r="Q280" s="13">
        <v>157.63040000000001</v>
      </c>
    </row>
    <row r="281" spans="1:19" x14ac:dyDescent="0.25">
      <c r="A281" s="13">
        <v>5</v>
      </c>
      <c r="B281" s="16" t="s">
        <v>280</v>
      </c>
      <c r="C281" s="13" t="s">
        <v>276</v>
      </c>
      <c r="D281" s="13" t="s">
        <v>34</v>
      </c>
      <c r="E281" s="13" t="s">
        <v>26</v>
      </c>
      <c r="F281" s="13"/>
      <c r="G281" s="13"/>
      <c r="H281" s="13">
        <v>2</v>
      </c>
      <c r="I281" s="66">
        <f t="shared" si="27"/>
        <v>2</v>
      </c>
      <c r="J281" s="15">
        <f t="shared" si="28"/>
        <v>3119.5056159999999</v>
      </c>
      <c r="K281" s="15">
        <f t="shared" si="29"/>
        <v>6239.0112319999998</v>
      </c>
      <c r="L281" s="13">
        <v>52015</v>
      </c>
      <c r="M281" s="103"/>
      <c r="N281" s="13">
        <v>17.670000000000002</v>
      </c>
      <c r="O281" s="13">
        <v>19.79</v>
      </c>
      <c r="P281" s="13">
        <v>14.6</v>
      </c>
      <c r="Q281" s="13">
        <v>157.63040000000001</v>
      </c>
    </row>
    <row r="282" spans="1:19" x14ac:dyDescent="0.25">
      <c r="A282" s="13">
        <v>6</v>
      </c>
      <c r="B282" s="13" t="s">
        <v>281</v>
      </c>
      <c r="C282" s="13" t="s">
        <v>282</v>
      </c>
      <c r="D282" s="13" t="s">
        <v>34</v>
      </c>
      <c r="E282" s="13" t="s">
        <v>26</v>
      </c>
      <c r="F282" s="13"/>
      <c r="G282" s="13"/>
      <c r="H282" s="13">
        <v>2</v>
      </c>
      <c r="I282" s="66">
        <f t="shared" si="27"/>
        <v>2</v>
      </c>
      <c r="J282" s="15">
        <f t="shared" si="28"/>
        <v>2517.3574880000001</v>
      </c>
      <c r="K282" s="15">
        <f t="shared" si="29"/>
        <v>5034.7149760000002</v>
      </c>
      <c r="L282" s="13">
        <v>52015</v>
      </c>
      <c r="M282" s="103"/>
      <c r="N282" s="13">
        <v>14.26</v>
      </c>
      <c r="O282" s="13">
        <v>15.97</v>
      </c>
      <c r="P282" s="13">
        <v>11.03</v>
      </c>
      <c r="Q282" s="13">
        <v>157.63040000000001</v>
      </c>
    </row>
    <row r="283" spans="1:19" x14ac:dyDescent="0.25">
      <c r="A283" s="123" t="s">
        <v>5</v>
      </c>
      <c r="B283" s="123"/>
      <c r="C283" s="123"/>
      <c r="D283" s="123"/>
      <c r="E283" s="123"/>
      <c r="F283" s="123"/>
      <c r="G283" s="123"/>
      <c r="H283" s="123"/>
      <c r="I283" s="123"/>
      <c r="J283" s="123"/>
      <c r="K283" s="60">
        <f>SUM(K277:K282)</f>
        <v>19546.169600000001</v>
      </c>
      <c r="L283" s="13"/>
      <c r="M283" s="103"/>
      <c r="N283" s="13"/>
      <c r="O283" s="13"/>
      <c r="P283" s="13"/>
      <c r="Q283" s="13"/>
      <c r="R283" s="13"/>
      <c r="S283" s="13"/>
    </row>
    <row r="284" spans="1:19" x14ac:dyDescent="0.25">
      <c r="A284" s="123" t="s">
        <v>669</v>
      </c>
      <c r="B284" s="123"/>
      <c r="C284" s="123"/>
      <c r="D284" s="123"/>
      <c r="E284" s="123"/>
      <c r="F284" s="123"/>
      <c r="G284" s="123"/>
      <c r="H284" s="123"/>
      <c r="I284" s="123"/>
      <c r="J284" s="123"/>
      <c r="K284" s="15"/>
      <c r="L284" s="13"/>
      <c r="M284" s="104"/>
      <c r="N284" s="13"/>
      <c r="O284" s="13"/>
      <c r="P284" s="13"/>
      <c r="Q284" s="13"/>
      <c r="R284" s="13"/>
      <c r="S284" s="13"/>
    </row>
    <row r="288" spans="1:19" x14ac:dyDescent="0.25">
      <c r="A288" s="132" t="s">
        <v>0</v>
      </c>
      <c r="B288" s="132"/>
      <c r="C288" s="132"/>
      <c r="D288" s="132"/>
      <c r="E288" s="132"/>
      <c r="F288" s="132"/>
      <c r="G288" s="132"/>
      <c r="H288" s="132"/>
      <c r="I288" s="132"/>
      <c r="J288" s="132"/>
      <c r="K288" s="132"/>
      <c r="L288" s="137" t="s">
        <v>1</v>
      </c>
      <c r="M288" s="1"/>
      <c r="N288" s="1"/>
      <c r="O288" s="1"/>
      <c r="P288" s="1"/>
      <c r="Q288" s="134" t="s">
        <v>2</v>
      </c>
      <c r="R288" s="139" t="s">
        <v>203</v>
      </c>
    </row>
    <row r="289" spans="1:19" x14ac:dyDescent="0.25">
      <c r="A289" s="135" t="s">
        <v>283</v>
      </c>
      <c r="B289" s="135"/>
      <c r="C289" s="135"/>
      <c r="D289" s="135"/>
      <c r="E289" s="135"/>
      <c r="F289" s="135"/>
      <c r="G289" s="135"/>
      <c r="H289" s="135"/>
      <c r="I289" s="135"/>
      <c r="J289" s="2" t="s">
        <v>5</v>
      </c>
      <c r="K289" s="136" t="s">
        <v>6</v>
      </c>
      <c r="L289" s="137"/>
      <c r="M289" s="131" t="s">
        <v>7</v>
      </c>
      <c r="N289" s="3"/>
      <c r="O289" s="3"/>
      <c r="P289" s="4"/>
      <c r="Q289" s="134"/>
      <c r="R289" s="140"/>
    </row>
    <row r="290" spans="1:19" x14ac:dyDescent="0.25">
      <c r="A290" s="5"/>
      <c r="B290" s="146" t="s">
        <v>140</v>
      </c>
      <c r="C290" s="147"/>
      <c r="D290" s="147"/>
      <c r="E290" s="148"/>
      <c r="F290" s="149" t="s">
        <v>9</v>
      </c>
      <c r="G290" s="150"/>
      <c r="H290" s="151"/>
      <c r="I290" s="64"/>
      <c r="J290" s="136" t="s">
        <v>10</v>
      </c>
      <c r="K290" s="136"/>
      <c r="L290" s="137"/>
      <c r="M290" s="131"/>
      <c r="N290" s="144" t="s">
        <v>11</v>
      </c>
      <c r="O290" s="131" t="s">
        <v>12</v>
      </c>
      <c r="P290" s="131" t="s">
        <v>13</v>
      </c>
      <c r="Q290" s="134"/>
      <c r="R290" s="140"/>
    </row>
    <row r="291" spans="1:19" ht="26.25" x14ac:dyDescent="0.25">
      <c r="A291" s="5" t="s">
        <v>14</v>
      </c>
      <c r="B291" s="8" t="s">
        <v>15</v>
      </c>
      <c r="C291" s="8" t="s">
        <v>16</v>
      </c>
      <c r="D291" s="8" t="s">
        <v>17</v>
      </c>
      <c r="E291" s="9" t="s">
        <v>18</v>
      </c>
      <c r="F291" s="10" t="s">
        <v>19</v>
      </c>
      <c r="G291" s="11" t="s">
        <v>20</v>
      </c>
      <c r="H291" s="12" t="s">
        <v>21</v>
      </c>
      <c r="I291" s="65" t="s">
        <v>22</v>
      </c>
      <c r="J291" s="136"/>
      <c r="K291" s="136"/>
      <c r="L291" s="137"/>
      <c r="M291" s="131"/>
      <c r="N291" s="144"/>
      <c r="O291" s="131"/>
      <c r="P291" s="131"/>
      <c r="Q291" s="134"/>
      <c r="R291" s="141"/>
    </row>
    <row r="292" spans="1:19" x14ac:dyDescent="0.25">
      <c r="A292" s="13">
        <v>1</v>
      </c>
      <c r="B292" s="13" t="s">
        <v>284</v>
      </c>
      <c r="C292" s="13" t="s">
        <v>285</v>
      </c>
      <c r="D292" s="13" t="s">
        <v>286</v>
      </c>
      <c r="E292" s="13" t="s">
        <v>65</v>
      </c>
      <c r="F292" s="13"/>
      <c r="G292" s="13"/>
      <c r="H292" s="13">
        <v>3</v>
      </c>
      <c r="I292" s="66">
        <f>SUM(F292:H292)</f>
        <v>3</v>
      </c>
      <c r="J292" s="15">
        <f>O292*Q292</f>
        <v>4271.7838400000001</v>
      </c>
      <c r="K292" s="15">
        <f>J292*I292</f>
        <v>12815.35152</v>
      </c>
      <c r="L292" s="13">
        <v>52004</v>
      </c>
      <c r="M292" s="102" t="s">
        <v>682</v>
      </c>
      <c r="N292" s="13">
        <v>24.2</v>
      </c>
      <c r="O292" s="13">
        <v>27.1</v>
      </c>
      <c r="P292" s="13">
        <v>19.100000000000001</v>
      </c>
      <c r="Q292" s="13">
        <v>157.63040000000001</v>
      </c>
      <c r="R292" s="13"/>
    </row>
    <row r="293" spans="1:19" x14ac:dyDescent="0.25">
      <c r="A293" s="13">
        <v>2</v>
      </c>
      <c r="B293" s="13" t="s">
        <v>284</v>
      </c>
      <c r="C293" s="17">
        <v>30</v>
      </c>
      <c r="D293" s="13" t="s">
        <v>36</v>
      </c>
      <c r="E293" s="13" t="s">
        <v>65</v>
      </c>
      <c r="F293" s="13"/>
      <c r="G293" s="13"/>
      <c r="H293" s="13">
        <v>4</v>
      </c>
      <c r="I293" s="66">
        <f t="shared" ref="I293:I295" si="30">SUM(F293:H293)</f>
        <v>4</v>
      </c>
      <c r="J293" s="15">
        <f t="shared" ref="J293:J295" si="31">O293*Q293</f>
        <v>4271.7838400000001</v>
      </c>
      <c r="K293" s="15">
        <f t="shared" ref="K293:K295" si="32">J293*I293</f>
        <v>17087.13536</v>
      </c>
      <c r="L293" s="13">
        <v>52004</v>
      </c>
      <c r="M293" s="103"/>
      <c r="N293" s="13">
        <v>24.2</v>
      </c>
      <c r="O293" s="13">
        <v>27.1</v>
      </c>
      <c r="P293" s="13">
        <v>19.100000000000001</v>
      </c>
      <c r="Q293" s="13">
        <v>157.63040000000001</v>
      </c>
      <c r="R293" s="13"/>
    </row>
    <row r="294" spans="1:19" x14ac:dyDescent="0.25">
      <c r="A294" s="13">
        <v>3</v>
      </c>
      <c r="B294" s="13" t="s">
        <v>284</v>
      </c>
      <c r="C294" s="13" t="s">
        <v>287</v>
      </c>
      <c r="D294" s="13" t="s">
        <v>286</v>
      </c>
      <c r="E294" s="13" t="s">
        <v>65</v>
      </c>
      <c r="F294" s="13"/>
      <c r="G294" s="13"/>
      <c r="H294" s="13">
        <v>24</v>
      </c>
      <c r="I294" s="66">
        <f t="shared" si="30"/>
        <v>24</v>
      </c>
      <c r="J294" s="15">
        <f t="shared" si="31"/>
        <v>4271.7838400000001</v>
      </c>
      <c r="K294" s="15">
        <f t="shared" si="32"/>
        <v>102522.81216</v>
      </c>
      <c r="L294" s="13">
        <v>52004</v>
      </c>
      <c r="M294" s="103"/>
      <c r="N294" s="13">
        <v>24.2</v>
      </c>
      <c r="O294" s="13">
        <v>27.1</v>
      </c>
      <c r="P294" s="13">
        <v>19.100000000000001</v>
      </c>
      <c r="Q294" s="13">
        <v>157.63040000000001</v>
      </c>
      <c r="R294" s="13"/>
    </row>
    <row r="295" spans="1:19" x14ac:dyDescent="0.25">
      <c r="A295" s="13">
        <v>4</v>
      </c>
      <c r="B295" s="13" t="s">
        <v>284</v>
      </c>
      <c r="C295" s="16" t="s">
        <v>288</v>
      </c>
      <c r="D295" s="13" t="s">
        <v>286</v>
      </c>
      <c r="E295" s="13" t="s">
        <v>65</v>
      </c>
      <c r="F295" s="13"/>
      <c r="G295" s="13"/>
      <c r="H295" s="13">
        <v>4</v>
      </c>
      <c r="I295" s="66">
        <f t="shared" si="30"/>
        <v>4</v>
      </c>
      <c r="J295" s="15">
        <f t="shared" si="31"/>
        <v>4271.7838400000001</v>
      </c>
      <c r="K295" s="15">
        <f t="shared" si="32"/>
        <v>17087.13536</v>
      </c>
      <c r="L295" s="13">
        <v>52004</v>
      </c>
      <c r="M295" s="103"/>
      <c r="N295" s="13">
        <v>24.2</v>
      </c>
      <c r="O295" s="13">
        <v>27.1</v>
      </c>
      <c r="P295" s="13">
        <v>19.100000000000001</v>
      </c>
      <c r="Q295" s="13">
        <v>157.63040000000001</v>
      </c>
      <c r="R295" s="13"/>
    </row>
    <row r="296" spans="1:19" x14ac:dyDescent="0.25">
      <c r="A296" s="123" t="s">
        <v>5</v>
      </c>
      <c r="B296" s="123"/>
      <c r="C296" s="123"/>
      <c r="D296" s="123"/>
      <c r="E296" s="123"/>
      <c r="F296" s="123"/>
      <c r="G296" s="123"/>
      <c r="H296" s="123"/>
      <c r="I296" s="123"/>
      <c r="J296" s="123"/>
      <c r="K296" s="60">
        <f>SUM(K292:K295)</f>
        <v>149512.43440000003</v>
      </c>
      <c r="L296" s="13"/>
      <c r="M296" s="103"/>
      <c r="N296" s="13"/>
      <c r="O296" s="13"/>
      <c r="P296" s="13"/>
      <c r="Q296" s="13"/>
      <c r="R296" s="13"/>
      <c r="S296" s="13"/>
    </row>
    <row r="297" spans="1:19" x14ac:dyDescent="0.25">
      <c r="A297" s="123" t="s">
        <v>669</v>
      </c>
      <c r="B297" s="123"/>
      <c r="C297" s="123"/>
      <c r="D297" s="123"/>
      <c r="E297" s="123"/>
      <c r="F297" s="123"/>
      <c r="G297" s="123"/>
      <c r="H297" s="123"/>
      <c r="I297" s="123"/>
      <c r="J297" s="123"/>
      <c r="K297" s="15"/>
      <c r="L297" s="13"/>
      <c r="M297" s="104"/>
      <c r="N297" s="13"/>
      <c r="O297" s="13"/>
      <c r="P297" s="13"/>
      <c r="Q297" s="13"/>
      <c r="R297" s="13"/>
      <c r="S297" s="13"/>
    </row>
    <row r="301" spans="1:19" x14ac:dyDescent="0.25">
      <c r="A301" s="132" t="s">
        <v>294</v>
      </c>
      <c r="B301" s="132"/>
      <c r="C301" s="132"/>
      <c r="D301" s="132"/>
      <c r="E301" s="132"/>
      <c r="F301" s="132"/>
      <c r="G301" s="132"/>
      <c r="H301" s="132"/>
      <c r="I301" s="132"/>
      <c r="J301" s="132"/>
      <c r="K301" s="132"/>
      <c r="L301" s="137" t="s">
        <v>1</v>
      </c>
      <c r="M301" s="1"/>
      <c r="N301" s="1"/>
      <c r="O301" s="1"/>
      <c r="P301" s="1"/>
      <c r="Q301" s="134" t="s">
        <v>2</v>
      </c>
      <c r="R301" s="145" t="s">
        <v>203</v>
      </c>
    </row>
    <row r="302" spans="1:19" x14ac:dyDescent="0.25">
      <c r="A302" s="135" t="s">
        <v>4</v>
      </c>
      <c r="B302" s="135"/>
      <c r="C302" s="135"/>
      <c r="D302" s="135"/>
      <c r="E302" s="135"/>
      <c r="F302" s="135"/>
      <c r="G302" s="135"/>
      <c r="H302" s="135"/>
      <c r="I302" s="135"/>
      <c r="J302" s="2" t="s">
        <v>5</v>
      </c>
      <c r="K302" s="136" t="s">
        <v>6</v>
      </c>
      <c r="L302" s="137"/>
      <c r="M302" s="131" t="s">
        <v>7</v>
      </c>
      <c r="N302" s="3"/>
      <c r="O302" s="3"/>
      <c r="P302" s="4"/>
      <c r="Q302" s="134"/>
      <c r="R302" s="145"/>
    </row>
    <row r="303" spans="1:19" x14ac:dyDescent="0.25">
      <c r="A303" s="5"/>
      <c r="B303" s="142" t="s">
        <v>140</v>
      </c>
      <c r="C303" s="142"/>
      <c r="D303" s="142"/>
      <c r="E303" s="142"/>
      <c r="F303" s="143" t="s">
        <v>9</v>
      </c>
      <c r="G303" s="143"/>
      <c r="H303" s="143"/>
      <c r="I303" s="64"/>
      <c r="J303" s="136" t="s">
        <v>10</v>
      </c>
      <c r="K303" s="136"/>
      <c r="L303" s="137"/>
      <c r="M303" s="131"/>
      <c r="N303" s="144" t="s">
        <v>11</v>
      </c>
      <c r="O303" s="131" t="s">
        <v>12</v>
      </c>
      <c r="P303" s="131" t="s">
        <v>13</v>
      </c>
      <c r="Q303" s="134"/>
      <c r="R303" s="145"/>
    </row>
    <row r="304" spans="1:19" ht="26.25" x14ac:dyDescent="0.25">
      <c r="A304" s="5" t="s">
        <v>14</v>
      </c>
      <c r="B304" s="8" t="s">
        <v>15</v>
      </c>
      <c r="C304" s="8" t="s">
        <v>16</v>
      </c>
      <c r="D304" s="8" t="s">
        <v>17</v>
      </c>
      <c r="E304" s="9" t="s">
        <v>18</v>
      </c>
      <c r="F304" s="10" t="s">
        <v>19</v>
      </c>
      <c r="G304" s="11" t="s">
        <v>20</v>
      </c>
      <c r="H304" s="12" t="s">
        <v>21</v>
      </c>
      <c r="I304" s="65" t="s">
        <v>22</v>
      </c>
      <c r="J304" s="136"/>
      <c r="K304" s="136"/>
      <c r="L304" s="137"/>
      <c r="M304" s="131"/>
      <c r="N304" s="144"/>
      <c r="O304" s="131"/>
      <c r="P304" s="131"/>
      <c r="Q304" s="134"/>
      <c r="R304" s="145"/>
    </row>
    <row r="305" spans="1:18" x14ac:dyDescent="0.25">
      <c r="A305" s="24">
        <v>1</v>
      </c>
      <c r="B305" s="25" t="s">
        <v>54</v>
      </c>
      <c r="C305" s="24" t="s">
        <v>36</v>
      </c>
      <c r="D305" s="24" t="s">
        <v>36</v>
      </c>
      <c r="E305" s="24" t="s">
        <v>26</v>
      </c>
      <c r="F305" s="24"/>
      <c r="G305" s="13"/>
      <c r="H305" s="24">
        <v>256</v>
      </c>
      <c r="I305" s="66">
        <f>SUM(F305:H305)</f>
        <v>256</v>
      </c>
      <c r="J305" s="15">
        <f>O305*Q305</f>
        <v>912.68001600000002</v>
      </c>
      <c r="K305" s="15">
        <f>J305*I305</f>
        <v>233646.08409600001</v>
      </c>
      <c r="L305" s="24">
        <v>52159</v>
      </c>
      <c r="M305" s="102" t="s">
        <v>699</v>
      </c>
      <c r="N305" s="13">
        <v>5.17</v>
      </c>
      <c r="O305" s="13">
        <v>5.79</v>
      </c>
      <c r="P305" s="13">
        <v>4.76</v>
      </c>
      <c r="Q305" s="16">
        <v>157.63040000000001</v>
      </c>
      <c r="R305" s="13"/>
    </row>
    <row r="306" spans="1:18" x14ac:dyDescent="0.25">
      <c r="A306" s="24">
        <v>2</v>
      </c>
      <c r="B306" s="25" t="s">
        <v>54</v>
      </c>
      <c r="C306" s="24" t="s">
        <v>36</v>
      </c>
      <c r="D306" s="24" t="s">
        <v>31</v>
      </c>
      <c r="E306" s="24" t="s">
        <v>26</v>
      </c>
      <c r="F306" s="24"/>
      <c r="G306" s="13"/>
      <c r="H306" s="24">
        <v>13</v>
      </c>
      <c r="I306" s="66">
        <f t="shared" ref="I306:I369" si="33">SUM(F306:H306)</f>
        <v>13</v>
      </c>
      <c r="J306" s="15">
        <f t="shared" ref="J306:J369" si="34">O306*Q306</f>
        <v>912.68001600000002</v>
      </c>
      <c r="K306" s="15">
        <f t="shared" ref="K306:K369" si="35">J306*I306</f>
        <v>11864.840208</v>
      </c>
      <c r="L306" s="24">
        <v>52159</v>
      </c>
      <c r="M306" s="103"/>
      <c r="N306" s="13">
        <v>5.17</v>
      </c>
      <c r="O306" s="13">
        <v>5.79</v>
      </c>
      <c r="P306" s="13">
        <v>4.76</v>
      </c>
      <c r="Q306" s="16">
        <v>157.63040000000001</v>
      </c>
      <c r="R306" s="13"/>
    </row>
    <row r="307" spans="1:18" x14ac:dyDescent="0.25">
      <c r="A307" s="24">
        <v>3</v>
      </c>
      <c r="B307" s="25" t="s">
        <v>54</v>
      </c>
      <c r="C307" s="24" t="s">
        <v>42</v>
      </c>
      <c r="D307" s="24" t="s">
        <v>36</v>
      </c>
      <c r="E307" s="24" t="s">
        <v>26</v>
      </c>
      <c r="F307" s="24"/>
      <c r="G307" s="13"/>
      <c r="H307" s="24">
        <v>14</v>
      </c>
      <c r="I307" s="66">
        <f t="shared" si="33"/>
        <v>14</v>
      </c>
      <c r="J307" s="15">
        <f t="shared" si="34"/>
        <v>912.68001600000002</v>
      </c>
      <c r="K307" s="15">
        <f t="shared" si="35"/>
        <v>12777.520224</v>
      </c>
      <c r="L307" s="24">
        <v>52159</v>
      </c>
      <c r="M307" s="103"/>
      <c r="N307" s="13">
        <v>5.17</v>
      </c>
      <c r="O307" s="13">
        <v>5.79</v>
      </c>
      <c r="P307" s="13">
        <v>4.76</v>
      </c>
      <c r="Q307" s="16">
        <v>157.63040000000001</v>
      </c>
      <c r="R307" s="13"/>
    </row>
    <row r="308" spans="1:18" x14ac:dyDescent="0.25">
      <c r="A308" s="24">
        <v>4</v>
      </c>
      <c r="B308" s="25" t="s">
        <v>56</v>
      </c>
      <c r="C308" s="24" t="s">
        <v>36</v>
      </c>
      <c r="D308" s="24" t="s">
        <v>36</v>
      </c>
      <c r="E308" s="24" t="s">
        <v>26</v>
      </c>
      <c r="F308" s="24"/>
      <c r="G308" s="13"/>
      <c r="H308" s="24">
        <v>10</v>
      </c>
      <c r="I308" s="66">
        <f t="shared" si="33"/>
        <v>10</v>
      </c>
      <c r="J308" s="15">
        <f t="shared" si="34"/>
        <v>912.68001600000002</v>
      </c>
      <c r="K308" s="15">
        <f t="shared" si="35"/>
        <v>9126.8001600000007</v>
      </c>
      <c r="L308" s="24">
        <v>52159</v>
      </c>
      <c r="M308" s="103"/>
      <c r="N308" s="13">
        <v>5.17</v>
      </c>
      <c r="O308" s="13">
        <v>5.79</v>
      </c>
      <c r="P308" s="13">
        <v>4.76</v>
      </c>
      <c r="Q308" s="16">
        <v>157.63040000000001</v>
      </c>
      <c r="R308" s="13"/>
    </row>
    <row r="309" spans="1:18" x14ac:dyDescent="0.25">
      <c r="A309" s="24">
        <v>5</v>
      </c>
      <c r="B309" s="25" t="s">
        <v>56</v>
      </c>
      <c r="C309" s="24" t="s">
        <v>42</v>
      </c>
      <c r="D309" s="24" t="s">
        <v>31</v>
      </c>
      <c r="E309" s="24" t="s">
        <v>26</v>
      </c>
      <c r="F309" s="24"/>
      <c r="G309" s="13"/>
      <c r="H309" s="24">
        <v>2</v>
      </c>
      <c r="I309" s="66">
        <f t="shared" si="33"/>
        <v>2</v>
      </c>
      <c r="J309" s="15">
        <f t="shared" si="34"/>
        <v>912.68001600000002</v>
      </c>
      <c r="K309" s="15">
        <f t="shared" si="35"/>
        <v>1825.360032</v>
      </c>
      <c r="L309" s="24">
        <v>52159</v>
      </c>
      <c r="M309" s="103"/>
      <c r="N309" s="13">
        <v>5.17</v>
      </c>
      <c r="O309" s="13">
        <v>5.79</v>
      </c>
      <c r="P309" s="13">
        <v>4.76</v>
      </c>
      <c r="Q309" s="16">
        <v>157.63040000000001</v>
      </c>
      <c r="R309" s="13"/>
    </row>
    <row r="310" spans="1:18" x14ac:dyDescent="0.25">
      <c r="A310" s="24">
        <v>6</v>
      </c>
      <c r="B310" s="25" t="s">
        <v>56</v>
      </c>
      <c r="C310" s="24" t="s">
        <v>295</v>
      </c>
      <c r="D310" s="24" t="s">
        <v>36</v>
      </c>
      <c r="E310" s="24" t="s">
        <v>26</v>
      </c>
      <c r="F310" s="24"/>
      <c r="G310" s="13"/>
      <c r="H310" s="24">
        <v>5</v>
      </c>
      <c r="I310" s="66">
        <f t="shared" si="33"/>
        <v>5</v>
      </c>
      <c r="J310" s="15">
        <f t="shared" si="34"/>
        <v>912.68001600000002</v>
      </c>
      <c r="K310" s="15">
        <f t="shared" si="35"/>
        <v>4563.4000800000003</v>
      </c>
      <c r="L310" s="24">
        <v>52159</v>
      </c>
      <c r="M310" s="103"/>
      <c r="N310" s="13">
        <v>5.17</v>
      </c>
      <c r="O310" s="13">
        <v>5.79</v>
      </c>
      <c r="P310" s="13">
        <v>4.76</v>
      </c>
      <c r="Q310" s="16">
        <v>157.63040000000001</v>
      </c>
      <c r="R310" s="13"/>
    </row>
    <row r="311" spans="1:18" x14ac:dyDescent="0.25">
      <c r="A311" s="24">
        <v>7</v>
      </c>
      <c r="B311" s="25" t="s">
        <v>56</v>
      </c>
      <c r="C311" s="24" t="s">
        <v>43</v>
      </c>
      <c r="D311" s="24" t="s">
        <v>36</v>
      </c>
      <c r="E311" s="24" t="s">
        <v>26</v>
      </c>
      <c r="F311" s="24"/>
      <c r="G311" s="13"/>
      <c r="H311" s="24">
        <v>1</v>
      </c>
      <c r="I311" s="66">
        <f t="shared" si="33"/>
        <v>1</v>
      </c>
      <c r="J311" s="15">
        <f t="shared" si="34"/>
        <v>912.68001600000002</v>
      </c>
      <c r="K311" s="15">
        <f t="shared" si="35"/>
        <v>912.68001600000002</v>
      </c>
      <c r="L311" s="24">
        <v>52159</v>
      </c>
      <c r="M311" s="103"/>
      <c r="N311" s="13">
        <v>5.17</v>
      </c>
      <c r="O311" s="13">
        <v>5.79</v>
      </c>
      <c r="P311" s="13">
        <v>4.76</v>
      </c>
      <c r="Q311" s="16">
        <v>157.63040000000001</v>
      </c>
      <c r="R311" s="13"/>
    </row>
    <row r="312" spans="1:18" x14ac:dyDescent="0.25">
      <c r="A312" s="24">
        <v>8</v>
      </c>
      <c r="B312" s="25" t="s">
        <v>29</v>
      </c>
      <c r="C312" s="24" t="s">
        <v>296</v>
      </c>
      <c r="D312" s="24" t="s">
        <v>31</v>
      </c>
      <c r="E312" s="24" t="s">
        <v>26</v>
      </c>
      <c r="F312" s="24"/>
      <c r="G312" s="13"/>
      <c r="H312" s="24">
        <v>30</v>
      </c>
      <c r="I312" s="66">
        <f t="shared" si="33"/>
        <v>30</v>
      </c>
      <c r="J312" s="15">
        <f t="shared" si="34"/>
        <v>762.93113600000004</v>
      </c>
      <c r="K312" s="15">
        <f t="shared" si="35"/>
        <v>22887.934080000003</v>
      </c>
      <c r="L312" s="24">
        <v>52159</v>
      </c>
      <c r="M312" s="103"/>
      <c r="N312" s="13">
        <v>4.33</v>
      </c>
      <c r="O312" s="13">
        <v>4.84</v>
      </c>
      <c r="P312" s="13">
        <v>3.98</v>
      </c>
      <c r="Q312" s="16">
        <v>157.63040000000001</v>
      </c>
      <c r="R312" s="13"/>
    </row>
    <row r="313" spans="1:18" x14ac:dyDescent="0.25">
      <c r="A313" s="24">
        <v>9</v>
      </c>
      <c r="B313" s="25" t="s">
        <v>29</v>
      </c>
      <c r="C313" s="24" t="s">
        <v>297</v>
      </c>
      <c r="D313" s="24" t="s">
        <v>31</v>
      </c>
      <c r="E313" s="24" t="s">
        <v>26</v>
      </c>
      <c r="F313" s="24"/>
      <c r="G313" s="13"/>
      <c r="H313" s="24">
        <v>10</v>
      </c>
      <c r="I313" s="66">
        <f t="shared" si="33"/>
        <v>10</v>
      </c>
      <c r="J313" s="15">
        <f t="shared" si="34"/>
        <v>762.93113600000004</v>
      </c>
      <c r="K313" s="15">
        <f t="shared" si="35"/>
        <v>7629.3113600000006</v>
      </c>
      <c r="L313" s="24">
        <v>52159</v>
      </c>
      <c r="M313" s="103"/>
      <c r="N313" s="13">
        <v>4.33</v>
      </c>
      <c r="O313" s="13">
        <v>4.84</v>
      </c>
      <c r="P313" s="13">
        <v>3.98</v>
      </c>
      <c r="Q313" s="16">
        <v>157.63040000000001</v>
      </c>
      <c r="R313" s="13"/>
    </row>
    <row r="314" spans="1:18" x14ac:dyDescent="0.25">
      <c r="A314" s="24">
        <v>10</v>
      </c>
      <c r="B314" s="25" t="s">
        <v>29</v>
      </c>
      <c r="C314" s="24" t="s">
        <v>298</v>
      </c>
      <c r="D314" s="24" t="s">
        <v>31</v>
      </c>
      <c r="E314" s="24" t="s">
        <v>26</v>
      </c>
      <c r="F314" s="24"/>
      <c r="G314" s="13"/>
      <c r="H314" s="24">
        <v>7</v>
      </c>
      <c r="I314" s="66">
        <f t="shared" si="33"/>
        <v>7</v>
      </c>
      <c r="J314" s="15">
        <f t="shared" si="34"/>
        <v>762.93113600000004</v>
      </c>
      <c r="K314" s="15">
        <f t="shared" si="35"/>
        <v>5340.5179520000002</v>
      </c>
      <c r="L314" s="24">
        <v>52159</v>
      </c>
      <c r="M314" s="103"/>
      <c r="N314" s="13">
        <v>4.33</v>
      </c>
      <c r="O314" s="13">
        <v>4.84</v>
      </c>
      <c r="P314" s="13">
        <v>3.98</v>
      </c>
      <c r="Q314" s="16">
        <v>157.63040000000001</v>
      </c>
      <c r="R314" s="13"/>
    </row>
    <row r="315" spans="1:18" x14ac:dyDescent="0.25">
      <c r="A315" s="24">
        <v>11</v>
      </c>
      <c r="B315" s="25" t="s">
        <v>29</v>
      </c>
      <c r="C315" s="24" t="s">
        <v>35</v>
      </c>
      <c r="D315" s="24" t="s">
        <v>36</v>
      </c>
      <c r="E315" s="24" t="s">
        <v>26</v>
      </c>
      <c r="F315" s="24"/>
      <c r="G315" s="13"/>
      <c r="H315" s="24">
        <v>7</v>
      </c>
      <c r="I315" s="66">
        <f t="shared" si="33"/>
        <v>7</v>
      </c>
      <c r="J315" s="15">
        <f t="shared" si="34"/>
        <v>762.93113600000004</v>
      </c>
      <c r="K315" s="15">
        <f t="shared" si="35"/>
        <v>5340.5179520000002</v>
      </c>
      <c r="L315" s="24">
        <v>52159</v>
      </c>
      <c r="M315" s="103"/>
      <c r="N315" s="13">
        <v>4.33</v>
      </c>
      <c r="O315" s="13">
        <v>4.84</v>
      </c>
      <c r="P315" s="13">
        <v>3.98</v>
      </c>
      <c r="Q315" s="16">
        <v>157.63040000000001</v>
      </c>
      <c r="R315" s="13"/>
    </row>
    <row r="316" spans="1:18" x14ac:dyDescent="0.25">
      <c r="A316" s="24">
        <v>12</v>
      </c>
      <c r="B316" s="25" t="s">
        <v>29</v>
      </c>
      <c r="C316" s="24" t="s">
        <v>32</v>
      </c>
      <c r="D316" s="24" t="s">
        <v>31</v>
      </c>
      <c r="E316" s="24" t="s">
        <v>26</v>
      </c>
      <c r="F316" s="24"/>
      <c r="G316" s="13"/>
      <c r="H316" s="24">
        <v>2</v>
      </c>
      <c r="I316" s="66">
        <f t="shared" si="33"/>
        <v>2</v>
      </c>
      <c r="J316" s="15">
        <f t="shared" si="34"/>
        <v>762.93113600000004</v>
      </c>
      <c r="K316" s="15">
        <f t="shared" si="35"/>
        <v>1525.8622720000001</v>
      </c>
      <c r="L316" s="24">
        <v>52159</v>
      </c>
      <c r="M316" s="103"/>
      <c r="N316" s="13">
        <v>4.33</v>
      </c>
      <c r="O316" s="13">
        <v>4.84</v>
      </c>
      <c r="P316" s="13">
        <v>3.98</v>
      </c>
      <c r="Q316" s="16">
        <v>157.63040000000001</v>
      </c>
      <c r="R316" s="13"/>
    </row>
    <row r="317" spans="1:18" x14ac:dyDescent="0.25">
      <c r="A317" s="24">
        <v>13</v>
      </c>
      <c r="B317" s="25" t="s">
        <v>29</v>
      </c>
      <c r="C317" s="24" t="s">
        <v>36</v>
      </c>
      <c r="D317" s="24" t="s">
        <v>36</v>
      </c>
      <c r="E317" s="24" t="s">
        <v>26</v>
      </c>
      <c r="F317" s="24"/>
      <c r="G317" s="13"/>
      <c r="H317" s="24">
        <v>46</v>
      </c>
      <c r="I317" s="66">
        <f t="shared" si="33"/>
        <v>46</v>
      </c>
      <c r="J317" s="15">
        <f t="shared" si="34"/>
        <v>762.93113600000004</v>
      </c>
      <c r="K317" s="15">
        <f t="shared" si="35"/>
        <v>35094.832256000002</v>
      </c>
      <c r="L317" s="24">
        <v>52160</v>
      </c>
      <c r="M317" s="103"/>
      <c r="N317" s="13">
        <v>4.33</v>
      </c>
      <c r="O317" s="13">
        <v>4.84</v>
      </c>
      <c r="P317" s="13">
        <v>3.98</v>
      </c>
      <c r="Q317" s="16">
        <v>157.63040000000001</v>
      </c>
      <c r="R317" s="13"/>
    </row>
    <row r="318" spans="1:18" x14ac:dyDescent="0.25">
      <c r="A318" s="24">
        <v>14</v>
      </c>
      <c r="B318" s="25" t="s">
        <v>29</v>
      </c>
      <c r="C318" s="24" t="s">
        <v>299</v>
      </c>
      <c r="D318" s="24" t="s">
        <v>36</v>
      </c>
      <c r="E318" s="24" t="s">
        <v>26</v>
      </c>
      <c r="F318" s="24"/>
      <c r="G318" s="13"/>
      <c r="H318" s="24">
        <v>5</v>
      </c>
      <c r="I318" s="66">
        <f t="shared" si="33"/>
        <v>5</v>
      </c>
      <c r="J318" s="15">
        <f t="shared" si="34"/>
        <v>762.93113600000004</v>
      </c>
      <c r="K318" s="15">
        <f t="shared" si="35"/>
        <v>3814.6556800000003</v>
      </c>
      <c r="L318" s="24">
        <v>52160</v>
      </c>
      <c r="M318" s="103"/>
      <c r="N318" s="13">
        <v>4.33</v>
      </c>
      <c r="O318" s="13">
        <v>4.84</v>
      </c>
      <c r="P318" s="13">
        <v>3.98</v>
      </c>
      <c r="Q318" s="16">
        <v>157.63040000000001</v>
      </c>
      <c r="R318" s="13"/>
    </row>
    <row r="319" spans="1:18" x14ac:dyDescent="0.25">
      <c r="A319" s="24">
        <v>15</v>
      </c>
      <c r="B319" s="25" t="s">
        <v>29</v>
      </c>
      <c r="C319" s="24" t="s">
        <v>299</v>
      </c>
      <c r="D319" s="24" t="s">
        <v>31</v>
      </c>
      <c r="E319" s="24" t="s">
        <v>26</v>
      </c>
      <c r="F319" s="24"/>
      <c r="G319" s="13"/>
      <c r="H319" s="24">
        <v>1</v>
      </c>
      <c r="I319" s="66">
        <f t="shared" si="33"/>
        <v>1</v>
      </c>
      <c r="J319" s="15">
        <f t="shared" si="34"/>
        <v>762.93113600000004</v>
      </c>
      <c r="K319" s="15">
        <f t="shared" si="35"/>
        <v>762.93113600000004</v>
      </c>
      <c r="L319" s="24">
        <v>52160</v>
      </c>
      <c r="M319" s="103"/>
      <c r="N319" s="13">
        <v>4.33</v>
      </c>
      <c r="O319" s="13">
        <v>4.84</v>
      </c>
      <c r="P319" s="13">
        <v>3.98</v>
      </c>
      <c r="Q319" s="16">
        <v>157.63040000000001</v>
      </c>
      <c r="R319" s="13"/>
    </row>
    <row r="320" spans="1:18" x14ac:dyDescent="0.25">
      <c r="A320" s="24">
        <v>16</v>
      </c>
      <c r="B320" s="25" t="s">
        <v>29</v>
      </c>
      <c r="C320" s="24" t="s">
        <v>300</v>
      </c>
      <c r="D320" s="24" t="s">
        <v>31</v>
      </c>
      <c r="E320" s="24" t="s">
        <v>26</v>
      </c>
      <c r="F320" s="24"/>
      <c r="G320" s="13"/>
      <c r="H320" s="24">
        <v>6</v>
      </c>
      <c r="I320" s="66">
        <f t="shared" si="33"/>
        <v>6</v>
      </c>
      <c r="J320" s="15">
        <f t="shared" si="34"/>
        <v>762.93113600000004</v>
      </c>
      <c r="K320" s="15">
        <f t="shared" si="35"/>
        <v>4577.586816</v>
      </c>
      <c r="L320" s="24">
        <v>52160</v>
      </c>
      <c r="M320" s="103"/>
      <c r="N320" s="13">
        <v>4.33</v>
      </c>
      <c r="O320" s="13">
        <v>4.84</v>
      </c>
      <c r="P320" s="13">
        <v>3.98</v>
      </c>
      <c r="Q320" s="16">
        <v>157.63040000000001</v>
      </c>
      <c r="R320" s="13"/>
    </row>
    <row r="321" spans="1:18" x14ac:dyDescent="0.25">
      <c r="A321" s="24">
        <v>17</v>
      </c>
      <c r="B321" s="25" t="s">
        <v>29</v>
      </c>
      <c r="C321" s="24" t="s">
        <v>38</v>
      </c>
      <c r="D321" s="24" t="s">
        <v>36</v>
      </c>
      <c r="E321" s="24" t="s">
        <v>26</v>
      </c>
      <c r="F321" s="24"/>
      <c r="G321" s="13"/>
      <c r="H321" s="24">
        <v>14</v>
      </c>
      <c r="I321" s="66">
        <f t="shared" si="33"/>
        <v>14</v>
      </c>
      <c r="J321" s="15">
        <f t="shared" si="34"/>
        <v>762.93113600000004</v>
      </c>
      <c r="K321" s="15">
        <f t="shared" si="35"/>
        <v>10681.035904</v>
      </c>
      <c r="L321" s="24">
        <v>52160</v>
      </c>
      <c r="M321" s="103"/>
      <c r="N321" s="13">
        <v>4.33</v>
      </c>
      <c r="O321" s="13">
        <v>4.84</v>
      </c>
      <c r="P321" s="13">
        <v>3.98</v>
      </c>
      <c r="Q321" s="16">
        <v>157.63040000000001</v>
      </c>
      <c r="R321" s="13"/>
    </row>
    <row r="322" spans="1:18" x14ac:dyDescent="0.25">
      <c r="A322" s="24">
        <v>18</v>
      </c>
      <c r="B322" s="25" t="s">
        <v>29</v>
      </c>
      <c r="C322" s="24" t="s">
        <v>300</v>
      </c>
      <c r="D322" s="24" t="s">
        <v>36</v>
      </c>
      <c r="E322" s="24" t="s">
        <v>26</v>
      </c>
      <c r="F322" s="24"/>
      <c r="G322" s="13"/>
      <c r="H322" s="24">
        <v>4</v>
      </c>
      <c r="I322" s="66">
        <f t="shared" si="33"/>
        <v>4</v>
      </c>
      <c r="J322" s="15">
        <f t="shared" si="34"/>
        <v>762.93113600000004</v>
      </c>
      <c r="K322" s="15">
        <f t="shared" si="35"/>
        <v>3051.7245440000002</v>
      </c>
      <c r="L322" s="24">
        <v>52160</v>
      </c>
      <c r="M322" s="103"/>
      <c r="N322" s="13">
        <v>4.33</v>
      </c>
      <c r="O322" s="13">
        <v>4.84</v>
      </c>
      <c r="P322" s="13">
        <v>3.98</v>
      </c>
      <c r="Q322" s="16">
        <v>157.63040000000001</v>
      </c>
      <c r="R322" s="13"/>
    </row>
    <row r="323" spans="1:18" x14ac:dyDescent="0.25">
      <c r="A323" s="24">
        <v>19</v>
      </c>
      <c r="B323" s="25" t="s">
        <v>29</v>
      </c>
      <c r="C323" s="24" t="s">
        <v>301</v>
      </c>
      <c r="D323" s="24" t="s">
        <v>31</v>
      </c>
      <c r="E323" s="24" t="s">
        <v>26</v>
      </c>
      <c r="F323" s="24"/>
      <c r="G323" s="13"/>
      <c r="H323" s="24">
        <v>3</v>
      </c>
      <c r="I323" s="66">
        <f t="shared" si="33"/>
        <v>3</v>
      </c>
      <c r="J323" s="15">
        <f t="shared" si="34"/>
        <v>762.93113600000004</v>
      </c>
      <c r="K323" s="15">
        <f t="shared" si="35"/>
        <v>2288.793408</v>
      </c>
      <c r="L323" s="24">
        <v>52160</v>
      </c>
      <c r="M323" s="103"/>
      <c r="N323" s="13">
        <v>4.33</v>
      </c>
      <c r="O323" s="13">
        <v>4.84</v>
      </c>
      <c r="P323" s="13">
        <v>3.98</v>
      </c>
      <c r="Q323" s="16">
        <v>157.63040000000001</v>
      </c>
      <c r="R323" s="13"/>
    </row>
    <row r="324" spans="1:18" x14ac:dyDescent="0.25">
      <c r="A324" s="24">
        <v>20</v>
      </c>
      <c r="B324" s="25" t="s">
        <v>29</v>
      </c>
      <c r="C324" s="24" t="s">
        <v>38</v>
      </c>
      <c r="D324" s="24" t="s">
        <v>31</v>
      </c>
      <c r="E324" s="24" t="s">
        <v>26</v>
      </c>
      <c r="F324" s="24"/>
      <c r="G324" s="13"/>
      <c r="H324" s="24">
        <v>9</v>
      </c>
      <c r="I324" s="66">
        <f t="shared" si="33"/>
        <v>9</v>
      </c>
      <c r="J324" s="15">
        <f t="shared" si="34"/>
        <v>762.93113600000004</v>
      </c>
      <c r="K324" s="15">
        <f t="shared" si="35"/>
        <v>6866.3802240000005</v>
      </c>
      <c r="L324" s="24">
        <v>52160</v>
      </c>
      <c r="M324" s="103"/>
      <c r="N324" s="13">
        <v>4.33</v>
      </c>
      <c r="O324" s="13">
        <v>4.84</v>
      </c>
      <c r="P324" s="13">
        <v>3.98</v>
      </c>
      <c r="Q324" s="16">
        <v>157.63040000000001</v>
      </c>
      <c r="R324" s="13"/>
    </row>
    <row r="325" spans="1:18" x14ac:dyDescent="0.25">
      <c r="A325" s="24">
        <v>21</v>
      </c>
      <c r="B325" s="25" t="s">
        <v>29</v>
      </c>
      <c r="C325" s="24" t="s">
        <v>302</v>
      </c>
      <c r="D325" s="24" t="s">
        <v>31</v>
      </c>
      <c r="E325" s="24" t="s">
        <v>26</v>
      </c>
      <c r="F325" s="24"/>
      <c r="G325" s="13"/>
      <c r="H325" s="24">
        <v>3</v>
      </c>
      <c r="I325" s="66">
        <f t="shared" si="33"/>
        <v>3</v>
      </c>
      <c r="J325" s="15">
        <f t="shared" si="34"/>
        <v>762.93113600000004</v>
      </c>
      <c r="K325" s="15">
        <f t="shared" si="35"/>
        <v>2288.793408</v>
      </c>
      <c r="L325" s="24">
        <v>52160</v>
      </c>
      <c r="M325" s="103"/>
      <c r="N325" s="13">
        <v>4.33</v>
      </c>
      <c r="O325" s="13">
        <v>4.84</v>
      </c>
      <c r="P325" s="13">
        <v>3.98</v>
      </c>
      <c r="Q325" s="16">
        <v>157.63040000000001</v>
      </c>
      <c r="R325" s="13"/>
    </row>
    <row r="326" spans="1:18" x14ac:dyDescent="0.25">
      <c r="A326" s="24">
        <v>22</v>
      </c>
      <c r="B326" s="25" t="s">
        <v>29</v>
      </c>
      <c r="C326" s="24" t="s">
        <v>42</v>
      </c>
      <c r="D326" s="24" t="s">
        <v>36</v>
      </c>
      <c r="E326" s="24" t="s">
        <v>26</v>
      </c>
      <c r="F326" s="24"/>
      <c r="G326" s="13"/>
      <c r="H326" s="24">
        <v>5</v>
      </c>
      <c r="I326" s="66">
        <f t="shared" si="33"/>
        <v>5</v>
      </c>
      <c r="J326" s="15">
        <f t="shared" si="34"/>
        <v>762.93113600000004</v>
      </c>
      <c r="K326" s="15">
        <f t="shared" si="35"/>
        <v>3814.6556800000003</v>
      </c>
      <c r="L326" s="24">
        <v>52160</v>
      </c>
      <c r="M326" s="103"/>
      <c r="N326" s="13">
        <v>4.33</v>
      </c>
      <c r="O326" s="13">
        <v>4.84</v>
      </c>
      <c r="P326" s="13">
        <v>3.98</v>
      </c>
      <c r="Q326" s="16">
        <v>157.63040000000001</v>
      </c>
      <c r="R326" s="13"/>
    </row>
    <row r="327" spans="1:18" x14ac:dyDescent="0.25">
      <c r="A327" s="24">
        <v>23</v>
      </c>
      <c r="B327" s="25" t="s">
        <v>29</v>
      </c>
      <c r="C327" s="24" t="s">
        <v>39</v>
      </c>
      <c r="D327" s="24" t="s">
        <v>36</v>
      </c>
      <c r="E327" s="24" t="s">
        <v>26</v>
      </c>
      <c r="F327" s="24"/>
      <c r="G327" s="13"/>
      <c r="H327" s="24">
        <v>25</v>
      </c>
      <c r="I327" s="66">
        <f t="shared" si="33"/>
        <v>25</v>
      </c>
      <c r="J327" s="15">
        <f t="shared" si="34"/>
        <v>762.93113600000004</v>
      </c>
      <c r="K327" s="15">
        <f t="shared" si="35"/>
        <v>19073.278399999999</v>
      </c>
      <c r="L327" s="24">
        <v>52160</v>
      </c>
      <c r="M327" s="103"/>
      <c r="N327" s="13">
        <v>4.33</v>
      </c>
      <c r="O327" s="13">
        <v>4.84</v>
      </c>
      <c r="P327" s="13">
        <v>3.98</v>
      </c>
      <c r="Q327" s="16">
        <v>157.63040000000001</v>
      </c>
      <c r="R327" s="13"/>
    </row>
    <row r="328" spans="1:18" x14ac:dyDescent="0.25">
      <c r="A328" s="24">
        <v>24</v>
      </c>
      <c r="B328" s="25" t="s">
        <v>29</v>
      </c>
      <c r="C328" s="24" t="s">
        <v>303</v>
      </c>
      <c r="D328" s="24" t="s">
        <v>36</v>
      </c>
      <c r="E328" s="24" t="s">
        <v>26</v>
      </c>
      <c r="F328" s="24"/>
      <c r="G328" s="13"/>
      <c r="H328" s="24">
        <v>6</v>
      </c>
      <c r="I328" s="66">
        <f t="shared" si="33"/>
        <v>6</v>
      </c>
      <c r="J328" s="15">
        <f t="shared" si="34"/>
        <v>762.93113600000004</v>
      </c>
      <c r="K328" s="15">
        <f t="shared" si="35"/>
        <v>4577.586816</v>
      </c>
      <c r="L328" s="24">
        <v>52160</v>
      </c>
      <c r="M328" s="103"/>
      <c r="N328" s="13">
        <v>4.33</v>
      </c>
      <c r="O328" s="13">
        <v>4.84</v>
      </c>
      <c r="P328" s="13">
        <v>3.98</v>
      </c>
      <c r="Q328" s="16">
        <v>157.63040000000001</v>
      </c>
      <c r="R328" s="13"/>
    </row>
    <row r="329" spans="1:18" x14ac:dyDescent="0.25">
      <c r="A329" s="24">
        <v>25</v>
      </c>
      <c r="B329" s="25" t="s">
        <v>29</v>
      </c>
      <c r="C329" s="24" t="s">
        <v>304</v>
      </c>
      <c r="D329" s="24" t="s">
        <v>31</v>
      </c>
      <c r="E329" s="24" t="s">
        <v>26</v>
      </c>
      <c r="F329" s="24"/>
      <c r="G329" s="13"/>
      <c r="H329" s="24">
        <v>1</v>
      </c>
      <c r="I329" s="66">
        <f t="shared" si="33"/>
        <v>1</v>
      </c>
      <c r="J329" s="15">
        <f t="shared" si="34"/>
        <v>762.93113600000004</v>
      </c>
      <c r="K329" s="15">
        <f t="shared" si="35"/>
        <v>762.93113600000004</v>
      </c>
      <c r="L329" s="24">
        <v>52160</v>
      </c>
      <c r="M329" s="103"/>
      <c r="N329" s="13">
        <v>4.33</v>
      </c>
      <c r="O329" s="13">
        <v>4.84</v>
      </c>
      <c r="P329" s="13">
        <v>3.98</v>
      </c>
      <c r="Q329" s="16">
        <v>157.63040000000001</v>
      </c>
      <c r="R329" s="13"/>
    </row>
    <row r="330" spans="1:18" x14ac:dyDescent="0.25">
      <c r="A330" s="24">
        <v>26</v>
      </c>
      <c r="B330" s="25" t="s">
        <v>29</v>
      </c>
      <c r="C330" s="24" t="s">
        <v>305</v>
      </c>
      <c r="D330" s="24" t="s">
        <v>36</v>
      </c>
      <c r="E330" s="24" t="s">
        <v>26</v>
      </c>
      <c r="F330" s="24"/>
      <c r="G330" s="13"/>
      <c r="H330" s="24">
        <v>1</v>
      </c>
      <c r="I330" s="66">
        <f t="shared" si="33"/>
        <v>1</v>
      </c>
      <c r="J330" s="15">
        <f t="shared" si="34"/>
        <v>762.93113600000004</v>
      </c>
      <c r="K330" s="15">
        <f t="shared" si="35"/>
        <v>762.93113600000004</v>
      </c>
      <c r="L330" s="24">
        <v>52161</v>
      </c>
      <c r="M330" s="103"/>
      <c r="N330" s="13">
        <v>4.33</v>
      </c>
      <c r="O330" s="13">
        <v>4.84</v>
      </c>
      <c r="P330" s="13">
        <v>3.98</v>
      </c>
      <c r="Q330" s="16">
        <v>157.63040000000001</v>
      </c>
      <c r="R330" s="13"/>
    </row>
    <row r="331" spans="1:18" x14ac:dyDescent="0.25">
      <c r="A331" s="24">
        <v>27</v>
      </c>
      <c r="B331" s="25" t="s">
        <v>29</v>
      </c>
      <c r="C331" s="24" t="s">
        <v>306</v>
      </c>
      <c r="D331" s="24" t="s">
        <v>31</v>
      </c>
      <c r="E331" s="24" t="s">
        <v>26</v>
      </c>
      <c r="F331" s="24"/>
      <c r="G331" s="13"/>
      <c r="H331" s="24">
        <v>1</v>
      </c>
      <c r="I331" s="66">
        <f t="shared" si="33"/>
        <v>1</v>
      </c>
      <c r="J331" s="15">
        <f t="shared" si="34"/>
        <v>762.93113600000004</v>
      </c>
      <c r="K331" s="15">
        <f t="shared" si="35"/>
        <v>762.93113600000004</v>
      </c>
      <c r="L331" s="24">
        <v>52161</v>
      </c>
      <c r="M331" s="103"/>
      <c r="N331" s="13">
        <v>4.33</v>
      </c>
      <c r="O331" s="13">
        <v>4.84</v>
      </c>
      <c r="P331" s="13">
        <v>3.98</v>
      </c>
      <c r="Q331" s="16">
        <v>157.63040000000001</v>
      </c>
      <c r="R331" s="13"/>
    </row>
    <row r="332" spans="1:18" x14ac:dyDescent="0.25">
      <c r="A332" s="24">
        <v>28</v>
      </c>
      <c r="B332" s="25" t="s">
        <v>29</v>
      </c>
      <c r="C332" s="24" t="s">
        <v>307</v>
      </c>
      <c r="D332" s="24" t="s">
        <v>36</v>
      </c>
      <c r="E332" s="24" t="s">
        <v>26</v>
      </c>
      <c r="F332" s="24"/>
      <c r="G332" s="13"/>
      <c r="H332" s="24">
        <v>2</v>
      </c>
      <c r="I332" s="66">
        <f t="shared" si="33"/>
        <v>2</v>
      </c>
      <c r="J332" s="15">
        <f t="shared" si="34"/>
        <v>762.93113600000004</v>
      </c>
      <c r="K332" s="15">
        <f t="shared" si="35"/>
        <v>1525.8622720000001</v>
      </c>
      <c r="L332" s="24">
        <v>52161</v>
      </c>
      <c r="M332" s="103"/>
      <c r="N332" s="13">
        <v>4.33</v>
      </c>
      <c r="O332" s="13">
        <v>4.84</v>
      </c>
      <c r="P332" s="13">
        <v>3.98</v>
      </c>
      <c r="Q332" s="16">
        <v>157.63040000000001</v>
      </c>
      <c r="R332" s="13"/>
    </row>
    <row r="333" spans="1:18" x14ac:dyDescent="0.25">
      <c r="A333" s="24">
        <v>29</v>
      </c>
      <c r="B333" s="25" t="s">
        <v>29</v>
      </c>
      <c r="C333" s="24" t="s">
        <v>308</v>
      </c>
      <c r="D333" s="24" t="s">
        <v>31</v>
      </c>
      <c r="E333" s="24" t="s">
        <v>26</v>
      </c>
      <c r="F333" s="24"/>
      <c r="G333" s="13"/>
      <c r="H333" s="24">
        <v>2</v>
      </c>
      <c r="I333" s="66">
        <f t="shared" si="33"/>
        <v>2</v>
      </c>
      <c r="J333" s="15">
        <f t="shared" si="34"/>
        <v>762.93113600000004</v>
      </c>
      <c r="K333" s="15">
        <f t="shared" si="35"/>
        <v>1525.8622720000001</v>
      </c>
      <c r="L333" s="24">
        <v>52161</v>
      </c>
      <c r="M333" s="103"/>
      <c r="N333" s="13">
        <v>4.33</v>
      </c>
      <c r="O333" s="13">
        <v>4.84</v>
      </c>
      <c r="P333" s="13">
        <v>3.98</v>
      </c>
      <c r="Q333" s="16">
        <v>157.63040000000001</v>
      </c>
      <c r="R333" s="13"/>
    </row>
    <row r="334" spans="1:18" x14ac:dyDescent="0.25">
      <c r="A334" s="24">
        <v>30</v>
      </c>
      <c r="B334" s="25" t="s">
        <v>29</v>
      </c>
      <c r="C334" s="24" t="s">
        <v>309</v>
      </c>
      <c r="D334" s="24" t="s">
        <v>36</v>
      </c>
      <c r="E334" s="24" t="s">
        <v>26</v>
      </c>
      <c r="F334" s="24"/>
      <c r="G334" s="13"/>
      <c r="H334" s="24">
        <v>9</v>
      </c>
      <c r="I334" s="66">
        <f t="shared" si="33"/>
        <v>9</v>
      </c>
      <c r="J334" s="15">
        <f t="shared" si="34"/>
        <v>762.93113600000004</v>
      </c>
      <c r="K334" s="15">
        <f t="shared" si="35"/>
        <v>6866.3802240000005</v>
      </c>
      <c r="L334" s="24">
        <v>52161</v>
      </c>
      <c r="M334" s="103"/>
      <c r="N334" s="13">
        <v>4.33</v>
      </c>
      <c r="O334" s="13">
        <v>4.84</v>
      </c>
      <c r="P334" s="13">
        <v>3.98</v>
      </c>
      <c r="Q334" s="16">
        <v>157.63040000000001</v>
      </c>
      <c r="R334" s="13"/>
    </row>
    <row r="335" spans="1:18" x14ac:dyDescent="0.25">
      <c r="A335" s="24">
        <v>31</v>
      </c>
      <c r="B335" s="25" t="s">
        <v>29</v>
      </c>
      <c r="C335" s="24" t="s">
        <v>42</v>
      </c>
      <c r="D335" s="24" t="s">
        <v>31</v>
      </c>
      <c r="E335" s="24" t="s">
        <v>26</v>
      </c>
      <c r="F335" s="24"/>
      <c r="G335" s="13"/>
      <c r="H335" s="24">
        <v>51</v>
      </c>
      <c r="I335" s="66">
        <f t="shared" si="33"/>
        <v>51</v>
      </c>
      <c r="J335" s="15">
        <f t="shared" si="34"/>
        <v>762.93113600000004</v>
      </c>
      <c r="K335" s="15">
        <f t="shared" si="35"/>
        <v>38909.487936000005</v>
      </c>
      <c r="L335" s="24">
        <v>52161</v>
      </c>
      <c r="M335" s="103"/>
      <c r="N335" s="13">
        <v>4.33</v>
      </c>
      <c r="O335" s="13">
        <v>4.84</v>
      </c>
      <c r="P335" s="13">
        <v>3.98</v>
      </c>
      <c r="Q335" s="16">
        <v>157.63040000000001</v>
      </c>
      <c r="R335" s="13"/>
    </row>
    <row r="336" spans="1:18" x14ac:dyDescent="0.25">
      <c r="A336" s="24">
        <v>32</v>
      </c>
      <c r="B336" s="25" t="s">
        <v>29</v>
      </c>
      <c r="C336" s="24" t="s">
        <v>33</v>
      </c>
      <c r="D336" s="24" t="s">
        <v>34</v>
      </c>
      <c r="E336" s="24" t="s">
        <v>26</v>
      </c>
      <c r="F336" s="24"/>
      <c r="G336" s="13"/>
      <c r="H336" s="24">
        <v>3</v>
      </c>
      <c r="I336" s="66">
        <f t="shared" si="33"/>
        <v>3</v>
      </c>
      <c r="J336" s="15">
        <f t="shared" si="34"/>
        <v>762.93113600000004</v>
      </c>
      <c r="K336" s="15">
        <f t="shared" si="35"/>
        <v>2288.793408</v>
      </c>
      <c r="L336" s="24">
        <v>52161</v>
      </c>
      <c r="M336" s="103"/>
      <c r="N336" s="13">
        <v>4.33</v>
      </c>
      <c r="O336" s="13">
        <v>4.84</v>
      </c>
      <c r="P336" s="13">
        <v>3.98</v>
      </c>
      <c r="Q336" s="16">
        <v>157.63040000000001</v>
      </c>
      <c r="R336" s="13"/>
    </row>
    <row r="337" spans="1:18" x14ac:dyDescent="0.25">
      <c r="A337" s="24">
        <v>33</v>
      </c>
      <c r="B337" s="25" t="s">
        <v>29</v>
      </c>
      <c r="C337" s="24" t="s">
        <v>33</v>
      </c>
      <c r="D337" s="24" t="s">
        <v>36</v>
      </c>
      <c r="E337" s="24" t="s">
        <v>26</v>
      </c>
      <c r="F337" s="24"/>
      <c r="G337" s="13"/>
      <c r="H337" s="24">
        <v>4</v>
      </c>
      <c r="I337" s="66">
        <f t="shared" si="33"/>
        <v>4</v>
      </c>
      <c r="J337" s="15">
        <f t="shared" si="34"/>
        <v>762.93113600000004</v>
      </c>
      <c r="K337" s="15">
        <f t="shared" si="35"/>
        <v>3051.7245440000002</v>
      </c>
      <c r="L337" s="24">
        <v>52161</v>
      </c>
      <c r="M337" s="103"/>
      <c r="N337" s="13">
        <v>4.33</v>
      </c>
      <c r="O337" s="13">
        <v>4.84</v>
      </c>
      <c r="P337" s="13">
        <v>3.98</v>
      </c>
      <c r="Q337" s="16">
        <v>157.63040000000001</v>
      </c>
      <c r="R337" s="13"/>
    </row>
    <row r="338" spans="1:18" x14ac:dyDescent="0.25">
      <c r="A338" s="24">
        <v>34</v>
      </c>
      <c r="B338" s="25" t="s">
        <v>29</v>
      </c>
      <c r="C338" s="24" t="s">
        <v>46</v>
      </c>
      <c r="D338" s="24" t="s">
        <v>31</v>
      </c>
      <c r="E338" s="24" t="s">
        <v>26</v>
      </c>
      <c r="F338" s="24"/>
      <c r="G338" s="13"/>
      <c r="H338" s="24">
        <v>2</v>
      </c>
      <c r="I338" s="66">
        <f t="shared" si="33"/>
        <v>2</v>
      </c>
      <c r="J338" s="15">
        <f t="shared" si="34"/>
        <v>762.93113600000004</v>
      </c>
      <c r="K338" s="15">
        <f t="shared" si="35"/>
        <v>1525.8622720000001</v>
      </c>
      <c r="L338" s="24">
        <v>52161</v>
      </c>
      <c r="M338" s="103"/>
      <c r="N338" s="13">
        <v>4.33</v>
      </c>
      <c r="O338" s="13">
        <v>4.84</v>
      </c>
      <c r="P338" s="13">
        <v>3.98</v>
      </c>
      <c r="Q338" s="16">
        <v>157.63040000000001</v>
      </c>
      <c r="R338" s="13"/>
    </row>
    <row r="339" spans="1:18" x14ac:dyDescent="0.25">
      <c r="A339" s="24">
        <v>35</v>
      </c>
      <c r="B339" s="25" t="s">
        <v>29</v>
      </c>
      <c r="C339" s="24" t="s">
        <v>40</v>
      </c>
      <c r="D339" s="24" t="s">
        <v>36</v>
      </c>
      <c r="E339" s="24" t="s">
        <v>26</v>
      </c>
      <c r="F339" s="24"/>
      <c r="G339" s="13"/>
      <c r="H339" s="24">
        <v>1</v>
      </c>
      <c r="I339" s="66">
        <f t="shared" si="33"/>
        <v>1</v>
      </c>
      <c r="J339" s="15">
        <f t="shared" si="34"/>
        <v>762.93113600000004</v>
      </c>
      <c r="K339" s="15">
        <f t="shared" si="35"/>
        <v>762.93113600000004</v>
      </c>
      <c r="L339" s="24">
        <v>52161</v>
      </c>
      <c r="M339" s="103"/>
      <c r="N339" s="13">
        <v>4.33</v>
      </c>
      <c r="O339" s="13">
        <v>4.84</v>
      </c>
      <c r="P339" s="13">
        <v>3.98</v>
      </c>
      <c r="Q339" s="16">
        <v>157.63040000000001</v>
      </c>
      <c r="R339" s="13"/>
    </row>
    <row r="340" spans="1:18" x14ac:dyDescent="0.25">
      <c r="A340" s="24">
        <v>36</v>
      </c>
      <c r="B340" s="25" t="s">
        <v>29</v>
      </c>
      <c r="C340" s="24" t="s">
        <v>58</v>
      </c>
      <c r="D340" s="24" t="s">
        <v>36</v>
      </c>
      <c r="E340" s="24" t="s">
        <v>26</v>
      </c>
      <c r="F340" s="24"/>
      <c r="G340" s="13"/>
      <c r="H340" s="24">
        <v>1</v>
      </c>
      <c r="I340" s="66">
        <f t="shared" si="33"/>
        <v>1</v>
      </c>
      <c r="J340" s="15">
        <f t="shared" si="34"/>
        <v>762.93113600000004</v>
      </c>
      <c r="K340" s="15">
        <f t="shared" si="35"/>
        <v>762.93113600000004</v>
      </c>
      <c r="L340" s="24">
        <v>52161</v>
      </c>
      <c r="M340" s="103"/>
      <c r="N340" s="13">
        <v>4.33</v>
      </c>
      <c r="O340" s="13">
        <v>4.84</v>
      </c>
      <c r="P340" s="13">
        <v>3.98</v>
      </c>
      <c r="Q340" s="16">
        <v>157.63040000000001</v>
      </c>
      <c r="R340" s="13"/>
    </row>
    <row r="341" spans="1:18" x14ac:dyDescent="0.25">
      <c r="A341" s="24">
        <v>37</v>
      </c>
      <c r="B341" s="25" t="s">
        <v>310</v>
      </c>
      <c r="C341" s="24" t="s">
        <v>42</v>
      </c>
      <c r="D341" s="24" t="s">
        <v>36</v>
      </c>
      <c r="E341" s="24" t="s">
        <v>26</v>
      </c>
      <c r="F341" s="24"/>
      <c r="G341" s="13"/>
      <c r="H341" s="24">
        <v>1</v>
      </c>
      <c r="I341" s="66">
        <f t="shared" si="33"/>
        <v>1</v>
      </c>
      <c r="J341" s="15">
        <f t="shared" si="34"/>
        <v>762.93113600000004</v>
      </c>
      <c r="K341" s="15">
        <f t="shared" si="35"/>
        <v>762.93113600000004</v>
      </c>
      <c r="L341" s="24">
        <v>52161</v>
      </c>
      <c r="M341" s="103"/>
      <c r="N341" s="13">
        <v>4.33</v>
      </c>
      <c r="O341" s="13">
        <v>4.84</v>
      </c>
      <c r="P341" s="13">
        <v>3.98</v>
      </c>
      <c r="Q341" s="16">
        <v>157.63040000000001</v>
      </c>
      <c r="R341" s="13"/>
    </row>
    <row r="342" spans="1:18" x14ac:dyDescent="0.25">
      <c r="A342" s="24">
        <v>38</v>
      </c>
      <c r="B342" s="25" t="s">
        <v>310</v>
      </c>
      <c r="C342" s="24" t="s">
        <v>42</v>
      </c>
      <c r="D342" s="24" t="s">
        <v>31</v>
      </c>
      <c r="E342" s="24" t="s">
        <v>26</v>
      </c>
      <c r="F342" s="24"/>
      <c r="G342" s="13"/>
      <c r="H342" s="24">
        <v>12</v>
      </c>
      <c r="I342" s="66">
        <f t="shared" si="33"/>
        <v>12</v>
      </c>
      <c r="J342" s="15">
        <f t="shared" si="34"/>
        <v>762.93113600000004</v>
      </c>
      <c r="K342" s="15">
        <f t="shared" si="35"/>
        <v>9155.173632</v>
      </c>
      <c r="L342" s="24">
        <v>52161</v>
      </c>
      <c r="M342" s="103"/>
      <c r="N342" s="13">
        <v>4.33</v>
      </c>
      <c r="O342" s="13">
        <v>4.84</v>
      </c>
      <c r="P342" s="13">
        <v>3.98</v>
      </c>
      <c r="Q342" s="16">
        <v>157.63040000000001</v>
      </c>
      <c r="R342" s="13"/>
    </row>
    <row r="343" spans="1:18" x14ac:dyDescent="0.25">
      <c r="A343" s="24">
        <v>39</v>
      </c>
      <c r="B343" s="25" t="s">
        <v>68</v>
      </c>
      <c r="C343" s="24" t="s">
        <v>36</v>
      </c>
      <c r="D343" s="24" t="s">
        <v>36</v>
      </c>
      <c r="E343" s="24" t="s">
        <v>26</v>
      </c>
      <c r="F343" s="24"/>
      <c r="G343" s="13"/>
      <c r="H343" s="24">
        <v>26</v>
      </c>
      <c r="I343" s="66">
        <f t="shared" si="33"/>
        <v>26</v>
      </c>
      <c r="J343" s="15">
        <f t="shared" si="34"/>
        <v>453.97555199999999</v>
      </c>
      <c r="K343" s="15">
        <f t="shared" si="35"/>
        <v>11803.364352000001</v>
      </c>
      <c r="L343" s="24">
        <v>52162</v>
      </c>
      <c r="M343" s="103"/>
      <c r="N343" s="13">
        <v>2.58</v>
      </c>
      <c r="O343" s="13">
        <v>2.88</v>
      </c>
      <c r="P343" s="13">
        <v>2.37</v>
      </c>
      <c r="Q343" s="16">
        <v>157.63040000000001</v>
      </c>
      <c r="R343" s="13"/>
    </row>
    <row r="344" spans="1:18" x14ac:dyDescent="0.25">
      <c r="A344" s="24">
        <v>40</v>
      </c>
      <c r="B344" s="25" t="s">
        <v>311</v>
      </c>
      <c r="C344" s="24" t="s">
        <v>36</v>
      </c>
      <c r="D344" s="24" t="s">
        <v>36</v>
      </c>
      <c r="E344" s="24" t="s">
        <v>26</v>
      </c>
      <c r="F344" s="24"/>
      <c r="G344" s="13"/>
      <c r="H344" s="24">
        <v>197</v>
      </c>
      <c r="I344" s="66">
        <f t="shared" si="33"/>
        <v>197</v>
      </c>
      <c r="J344" s="15">
        <f t="shared" si="34"/>
        <v>453.97555199999999</v>
      </c>
      <c r="K344" s="15">
        <f t="shared" si="35"/>
        <v>89433.183743999994</v>
      </c>
      <c r="L344" s="24">
        <v>52162</v>
      </c>
      <c r="M344" s="103"/>
      <c r="N344" s="13">
        <v>2.58</v>
      </c>
      <c r="O344" s="13">
        <v>2.88</v>
      </c>
      <c r="P344" s="13">
        <v>1.55</v>
      </c>
      <c r="Q344" s="16">
        <v>157.63040000000001</v>
      </c>
      <c r="R344" s="13"/>
    </row>
    <row r="345" spans="1:18" x14ac:dyDescent="0.25">
      <c r="A345" s="24">
        <v>41</v>
      </c>
      <c r="B345" s="25" t="s">
        <v>312</v>
      </c>
      <c r="C345" s="24" t="s">
        <v>36</v>
      </c>
      <c r="D345" s="24" t="s">
        <v>36</v>
      </c>
      <c r="E345" s="24" t="s">
        <v>26</v>
      </c>
      <c r="F345" s="24"/>
      <c r="G345" s="13"/>
      <c r="H345" s="24">
        <v>33</v>
      </c>
      <c r="I345" s="66">
        <f t="shared" si="33"/>
        <v>33</v>
      </c>
      <c r="J345" s="15">
        <f t="shared" si="34"/>
        <v>368.85513600000002</v>
      </c>
      <c r="K345" s="15">
        <f t="shared" si="35"/>
        <v>12172.219488000001</v>
      </c>
      <c r="L345" s="24">
        <v>52162</v>
      </c>
      <c r="M345" s="103"/>
      <c r="N345" s="13">
        <v>2.09</v>
      </c>
      <c r="O345" s="13">
        <v>2.34</v>
      </c>
      <c r="P345" s="13">
        <v>1.92</v>
      </c>
      <c r="Q345" s="16">
        <v>157.63040000000001</v>
      </c>
      <c r="R345" s="13"/>
    </row>
    <row r="346" spans="1:18" ht="30" x14ac:dyDescent="0.25">
      <c r="A346" s="24">
        <v>42</v>
      </c>
      <c r="B346" s="25" t="s">
        <v>313</v>
      </c>
      <c r="C346" s="24" t="s">
        <v>36</v>
      </c>
      <c r="D346" s="24" t="s">
        <v>36</v>
      </c>
      <c r="E346" s="24" t="s">
        <v>26</v>
      </c>
      <c r="F346" s="24"/>
      <c r="G346" s="13"/>
      <c r="H346" s="24">
        <v>6</v>
      </c>
      <c r="I346" s="66">
        <f t="shared" si="33"/>
        <v>6</v>
      </c>
      <c r="J346" s="15">
        <f t="shared" si="34"/>
        <v>758.202224</v>
      </c>
      <c r="K346" s="15">
        <f t="shared" si="35"/>
        <v>4549.2133439999998</v>
      </c>
      <c r="L346" s="24">
        <v>52162</v>
      </c>
      <c r="M346" s="102" t="s">
        <v>700</v>
      </c>
      <c r="N346" s="13">
        <v>4.3</v>
      </c>
      <c r="O346" s="13">
        <v>4.8099999999999996</v>
      </c>
      <c r="P346" s="13">
        <v>2.59</v>
      </c>
      <c r="Q346" s="16">
        <v>157.63040000000001</v>
      </c>
      <c r="R346" s="13"/>
    </row>
    <row r="347" spans="1:18" x14ac:dyDescent="0.25">
      <c r="A347" s="24">
        <v>43</v>
      </c>
      <c r="B347" s="25" t="s">
        <v>314</v>
      </c>
      <c r="C347" s="24" t="s">
        <v>36</v>
      </c>
      <c r="D347" s="24" t="s">
        <v>36</v>
      </c>
      <c r="E347" s="24" t="s">
        <v>26</v>
      </c>
      <c r="F347" s="24"/>
      <c r="G347" s="13"/>
      <c r="H347" s="24">
        <v>9</v>
      </c>
      <c r="I347" s="66">
        <f t="shared" si="33"/>
        <v>9</v>
      </c>
      <c r="J347" s="15">
        <f t="shared" si="34"/>
        <v>909.52740800000004</v>
      </c>
      <c r="K347" s="15">
        <f t="shared" si="35"/>
        <v>8185.7466720000002</v>
      </c>
      <c r="L347" s="24">
        <v>52162</v>
      </c>
      <c r="M347" s="103"/>
      <c r="N347" s="13">
        <v>5.16</v>
      </c>
      <c r="O347" s="13">
        <v>5.77</v>
      </c>
      <c r="P347" s="13">
        <v>3.11</v>
      </c>
      <c r="Q347" s="16">
        <v>157.63040000000001</v>
      </c>
      <c r="R347" s="13"/>
    </row>
    <row r="348" spans="1:18" x14ac:dyDescent="0.25">
      <c r="A348" s="24">
        <v>44</v>
      </c>
      <c r="B348" s="25" t="s">
        <v>315</v>
      </c>
      <c r="C348" s="24" t="s">
        <v>36</v>
      </c>
      <c r="D348" s="24" t="s">
        <v>36</v>
      </c>
      <c r="E348" s="24" t="s">
        <v>26</v>
      </c>
      <c r="F348" s="24"/>
      <c r="G348" s="13"/>
      <c r="H348" s="24">
        <v>17</v>
      </c>
      <c r="I348" s="66">
        <f t="shared" si="33"/>
        <v>17</v>
      </c>
      <c r="J348" s="15">
        <f t="shared" si="34"/>
        <v>758.202224</v>
      </c>
      <c r="K348" s="15">
        <f t="shared" si="35"/>
        <v>12889.437808000001</v>
      </c>
      <c r="L348" s="24">
        <v>52162</v>
      </c>
      <c r="M348" s="103"/>
      <c r="N348" s="13">
        <v>4.3</v>
      </c>
      <c r="O348" s="13">
        <v>4.8099999999999996</v>
      </c>
      <c r="P348" s="13">
        <v>2.59</v>
      </c>
      <c r="Q348" s="16">
        <v>157.63040000000001</v>
      </c>
      <c r="R348" s="13"/>
    </row>
    <row r="349" spans="1:18" x14ac:dyDescent="0.25">
      <c r="A349" s="24">
        <v>45</v>
      </c>
      <c r="B349" s="25" t="s">
        <v>316</v>
      </c>
      <c r="C349" s="24" t="s">
        <v>36</v>
      </c>
      <c r="D349" s="24" t="s">
        <v>36</v>
      </c>
      <c r="E349" s="24" t="s">
        <v>26</v>
      </c>
      <c r="F349" s="24"/>
      <c r="G349" s="13"/>
      <c r="H349" s="24">
        <v>10</v>
      </c>
      <c r="I349" s="66">
        <f t="shared" si="33"/>
        <v>10</v>
      </c>
      <c r="J349" s="15">
        <f t="shared" si="34"/>
        <v>1450.1996799999999</v>
      </c>
      <c r="K349" s="15">
        <f t="shared" si="35"/>
        <v>14501.996799999999</v>
      </c>
      <c r="L349" s="24">
        <v>52162</v>
      </c>
      <c r="M349" s="103"/>
      <c r="N349" s="13">
        <v>8.2200000000000006</v>
      </c>
      <c r="O349" s="13">
        <v>9.1999999999999993</v>
      </c>
      <c r="P349" s="13">
        <v>4.96</v>
      </c>
      <c r="Q349" s="16">
        <v>157.63040000000001</v>
      </c>
      <c r="R349" s="13"/>
    </row>
    <row r="350" spans="1:18" x14ac:dyDescent="0.25">
      <c r="A350" s="24">
        <v>46</v>
      </c>
      <c r="B350" s="25" t="s">
        <v>317</v>
      </c>
      <c r="C350" s="24" t="s">
        <v>36</v>
      </c>
      <c r="D350" s="24" t="s">
        <v>36</v>
      </c>
      <c r="E350" s="24" t="s">
        <v>26</v>
      </c>
      <c r="F350" s="24"/>
      <c r="G350" s="13"/>
      <c r="H350" s="24">
        <v>5</v>
      </c>
      <c r="I350" s="66">
        <f t="shared" si="33"/>
        <v>5</v>
      </c>
      <c r="J350" s="15">
        <f t="shared" si="34"/>
        <v>2659.2248480000003</v>
      </c>
      <c r="K350" s="15">
        <f t="shared" si="35"/>
        <v>13296.124240000001</v>
      </c>
      <c r="L350" s="24">
        <v>52162</v>
      </c>
      <c r="M350" s="103"/>
      <c r="N350" s="13">
        <v>15.07</v>
      </c>
      <c r="O350" s="13">
        <v>16.87</v>
      </c>
      <c r="P350" s="13">
        <v>9.1</v>
      </c>
      <c r="Q350" s="16">
        <v>157.63040000000001</v>
      </c>
      <c r="R350" s="13"/>
    </row>
    <row r="351" spans="1:18" x14ac:dyDescent="0.25">
      <c r="A351" s="24">
        <v>47</v>
      </c>
      <c r="B351" s="25" t="s">
        <v>318</v>
      </c>
      <c r="C351" s="24" t="s">
        <v>36</v>
      </c>
      <c r="D351" s="24" t="s">
        <v>36</v>
      </c>
      <c r="E351" s="24" t="s">
        <v>26</v>
      </c>
      <c r="F351" s="24"/>
      <c r="G351" s="13"/>
      <c r="H351" s="24">
        <v>26</v>
      </c>
      <c r="I351" s="66">
        <f t="shared" si="33"/>
        <v>26</v>
      </c>
      <c r="J351" s="15">
        <f t="shared" si="34"/>
        <v>603.72443200000009</v>
      </c>
      <c r="K351" s="15">
        <f t="shared" si="35"/>
        <v>15696.835232000003</v>
      </c>
      <c r="L351" s="24">
        <v>52162</v>
      </c>
      <c r="M351" s="103"/>
      <c r="N351" s="13">
        <v>3.42</v>
      </c>
      <c r="O351" s="13">
        <v>3.83</v>
      </c>
      <c r="P351" s="13">
        <v>2.06</v>
      </c>
      <c r="Q351" s="16">
        <v>157.63040000000001</v>
      </c>
      <c r="R351" s="13"/>
    </row>
    <row r="352" spans="1:18" x14ac:dyDescent="0.25">
      <c r="A352" s="24">
        <v>48</v>
      </c>
      <c r="B352" s="25" t="s">
        <v>80</v>
      </c>
      <c r="C352" s="24" t="s">
        <v>36</v>
      </c>
      <c r="D352" s="24" t="s">
        <v>36</v>
      </c>
      <c r="E352" s="24" t="s">
        <v>26</v>
      </c>
      <c r="F352" s="24"/>
      <c r="G352" s="13"/>
      <c r="H352" s="24">
        <v>40</v>
      </c>
      <c r="I352" s="66">
        <f t="shared" si="33"/>
        <v>40</v>
      </c>
      <c r="J352" s="15">
        <f t="shared" si="34"/>
        <v>88.273024000000007</v>
      </c>
      <c r="K352" s="15">
        <f t="shared" si="35"/>
        <v>3530.9209600000004</v>
      </c>
      <c r="L352" s="24">
        <v>52162</v>
      </c>
      <c r="M352" s="103"/>
      <c r="N352" s="13">
        <v>0.5</v>
      </c>
      <c r="O352" s="13">
        <v>0.56000000000000005</v>
      </c>
      <c r="P352" s="13">
        <v>0.46</v>
      </c>
      <c r="Q352" s="16">
        <v>157.63040000000001</v>
      </c>
      <c r="R352" s="13"/>
    </row>
    <row r="353" spans="1:18" x14ac:dyDescent="0.25">
      <c r="A353" s="24">
        <v>49</v>
      </c>
      <c r="B353" s="25" t="s">
        <v>71</v>
      </c>
      <c r="C353" s="24" t="s">
        <v>36</v>
      </c>
      <c r="D353" s="24" t="s">
        <v>36</v>
      </c>
      <c r="E353" s="24" t="s">
        <v>26</v>
      </c>
      <c r="F353" s="24"/>
      <c r="G353" s="13"/>
      <c r="H353" s="24">
        <v>10</v>
      </c>
      <c r="I353" s="66">
        <f t="shared" si="33"/>
        <v>10</v>
      </c>
      <c r="J353" s="15">
        <f t="shared" si="34"/>
        <v>433.48360000000002</v>
      </c>
      <c r="K353" s="15">
        <f t="shared" si="35"/>
        <v>4334.8360000000002</v>
      </c>
      <c r="L353" s="24">
        <v>52162</v>
      </c>
      <c r="M353" s="103"/>
      <c r="N353" s="13">
        <v>2.46</v>
      </c>
      <c r="O353" s="13">
        <v>2.75</v>
      </c>
      <c r="P353" s="13">
        <v>2.2599999999999998</v>
      </c>
      <c r="Q353" s="16">
        <v>157.63040000000001</v>
      </c>
      <c r="R353" s="13"/>
    </row>
    <row r="354" spans="1:18" x14ac:dyDescent="0.25">
      <c r="A354" s="24">
        <v>50</v>
      </c>
      <c r="B354" s="25" t="s">
        <v>64</v>
      </c>
      <c r="C354" s="24" t="s">
        <v>36</v>
      </c>
      <c r="D354" s="24" t="s">
        <v>36</v>
      </c>
      <c r="E354" s="24" t="s">
        <v>65</v>
      </c>
      <c r="F354" s="24"/>
      <c r="G354" s="13"/>
      <c r="H354" s="24">
        <v>1</v>
      </c>
      <c r="I354" s="66">
        <f t="shared" si="33"/>
        <v>1</v>
      </c>
      <c r="J354" s="15">
        <f t="shared" si="34"/>
        <v>1741.8159200000002</v>
      </c>
      <c r="K354" s="15">
        <f t="shared" si="35"/>
        <v>1741.8159200000002</v>
      </c>
      <c r="L354" s="24">
        <v>52162</v>
      </c>
      <c r="M354" s="103"/>
      <c r="N354" s="13">
        <v>9.8699999999999992</v>
      </c>
      <c r="O354" s="13">
        <v>11.05</v>
      </c>
      <c r="P354" s="13">
        <v>9.09</v>
      </c>
      <c r="Q354" s="16">
        <v>157.63040000000001</v>
      </c>
      <c r="R354" s="13"/>
    </row>
    <row r="355" spans="1:18" x14ac:dyDescent="0.25">
      <c r="A355" s="24">
        <v>51</v>
      </c>
      <c r="B355" s="25" t="s">
        <v>60</v>
      </c>
      <c r="C355" s="24" t="s">
        <v>42</v>
      </c>
      <c r="D355" s="24" t="s">
        <v>31</v>
      </c>
      <c r="E355" s="24" t="s">
        <v>26</v>
      </c>
      <c r="F355" s="24"/>
      <c r="G355" s="13"/>
      <c r="H355" s="24">
        <v>1</v>
      </c>
      <c r="I355" s="66">
        <f t="shared" si="33"/>
        <v>1</v>
      </c>
      <c r="J355" s="15">
        <f t="shared" si="34"/>
        <v>1596.7959520000002</v>
      </c>
      <c r="K355" s="15">
        <f t="shared" si="35"/>
        <v>1596.7959520000002</v>
      </c>
      <c r="L355" s="24">
        <v>52162</v>
      </c>
      <c r="M355" s="103"/>
      <c r="N355" s="13">
        <v>9.0500000000000007</v>
      </c>
      <c r="O355" s="13">
        <v>10.130000000000001</v>
      </c>
      <c r="P355" s="13">
        <v>8.33</v>
      </c>
      <c r="Q355" s="16">
        <v>157.63040000000001</v>
      </c>
      <c r="R355" s="13"/>
    </row>
    <row r="356" spans="1:18" x14ac:dyDescent="0.25">
      <c r="A356" s="24">
        <v>52</v>
      </c>
      <c r="B356" s="25" t="s">
        <v>60</v>
      </c>
      <c r="C356" s="24" t="s">
        <v>42</v>
      </c>
      <c r="D356" s="24" t="s">
        <v>36</v>
      </c>
      <c r="E356" s="24" t="s">
        <v>26</v>
      </c>
      <c r="F356" s="24"/>
      <c r="G356" s="13"/>
      <c r="H356" s="24">
        <v>5</v>
      </c>
      <c r="I356" s="66">
        <f t="shared" si="33"/>
        <v>5</v>
      </c>
      <c r="J356" s="15">
        <f t="shared" si="34"/>
        <v>1596.7959520000002</v>
      </c>
      <c r="K356" s="15">
        <f t="shared" si="35"/>
        <v>7983.9797600000011</v>
      </c>
      <c r="L356" s="24">
        <v>52163</v>
      </c>
      <c r="M356" s="103"/>
      <c r="N356" s="13">
        <v>9.0500000000000007</v>
      </c>
      <c r="O356" s="13">
        <v>10.130000000000001</v>
      </c>
      <c r="P356" s="13">
        <v>8.33</v>
      </c>
      <c r="Q356" s="16">
        <v>157.63040000000001</v>
      </c>
      <c r="R356" s="13"/>
    </row>
    <row r="357" spans="1:18" ht="75" x14ac:dyDescent="0.25">
      <c r="A357" s="61">
        <v>53</v>
      </c>
      <c r="B357" s="62" t="s">
        <v>319</v>
      </c>
      <c r="C357" s="61" t="s">
        <v>320</v>
      </c>
      <c r="D357" s="61" t="s">
        <v>31</v>
      </c>
      <c r="E357" s="61" t="s">
        <v>84</v>
      </c>
      <c r="F357" s="61"/>
      <c r="G357" s="52"/>
      <c r="H357" s="61">
        <v>2</v>
      </c>
      <c r="I357" s="68">
        <f t="shared" si="33"/>
        <v>2</v>
      </c>
      <c r="J357" s="53">
        <f t="shared" si="34"/>
        <v>3278.7123200000001</v>
      </c>
      <c r="K357" s="53">
        <f t="shared" si="35"/>
        <v>6557.4246400000002</v>
      </c>
      <c r="L357" s="61">
        <v>52163</v>
      </c>
      <c r="M357" s="103"/>
      <c r="N357" s="52">
        <v>18.579999999999998</v>
      </c>
      <c r="O357" s="52">
        <v>20.8</v>
      </c>
      <c r="P357" s="52">
        <v>17.12</v>
      </c>
      <c r="Q357" s="52">
        <v>157.63040000000001</v>
      </c>
      <c r="R357" s="54" t="s">
        <v>321</v>
      </c>
    </row>
    <row r="358" spans="1:18" x14ac:dyDescent="0.25">
      <c r="A358" s="24">
        <v>54</v>
      </c>
      <c r="B358" s="25" t="s">
        <v>322</v>
      </c>
      <c r="C358" s="24" t="s">
        <v>273</v>
      </c>
      <c r="D358" s="24" t="s">
        <v>36</v>
      </c>
      <c r="E358" s="24" t="s">
        <v>26</v>
      </c>
      <c r="F358" s="24"/>
      <c r="G358" s="13"/>
      <c r="H358" s="24">
        <v>6</v>
      </c>
      <c r="I358" s="66">
        <f t="shared" si="33"/>
        <v>6</v>
      </c>
      <c r="J358" s="15">
        <f t="shared" si="34"/>
        <v>357.82100800000001</v>
      </c>
      <c r="K358" s="15">
        <f t="shared" si="35"/>
        <v>2146.9260480000003</v>
      </c>
      <c r="L358" s="24">
        <v>52163</v>
      </c>
      <c r="M358" s="103"/>
      <c r="N358" s="13">
        <v>2.0299999999999998</v>
      </c>
      <c r="O358" s="13">
        <v>2.27</v>
      </c>
      <c r="P358" s="13">
        <v>1.98</v>
      </c>
      <c r="Q358" s="16">
        <v>157.63040000000001</v>
      </c>
      <c r="R358" s="13"/>
    </row>
    <row r="359" spans="1:18" x14ac:dyDescent="0.25">
      <c r="A359" s="24">
        <v>55</v>
      </c>
      <c r="B359" s="25" t="s">
        <v>23</v>
      </c>
      <c r="C359" s="24" t="s">
        <v>24</v>
      </c>
      <c r="D359" s="24" t="s">
        <v>25</v>
      </c>
      <c r="E359" s="24" t="s">
        <v>26</v>
      </c>
      <c r="F359" s="24"/>
      <c r="G359" s="13"/>
      <c r="H359" s="24">
        <v>137</v>
      </c>
      <c r="I359" s="66">
        <f t="shared" si="33"/>
        <v>137</v>
      </c>
      <c r="J359" s="15">
        <f t="shared" si="34"/>
        <v>3035.9615040000003</v>
      </c>
      <c r="K359" s="15">
        <f t="shared" si="35"/>
        <v>415926.72604800004</v>
      </c>
      <c r="L359" s="24">
        <v>52163</v>
      </c>
      <c r="M359" s="103"/>
      <c r="N359" s="13">
        <v>17.2</v>
      </c>
      <c r="O359" s="13">
        <v>19.260000000000002</v>
      </c>
      <c r="P359" s="13">
        <v>15.85</v>
      </c>
      <c r="Q359" s="16">
        <v>157.63040000000001</v>
      </c>
      <c r="R359" s="13"/>
    </row>
    <row r="360" spans="1:18" x14ac:dyDescent="0.25">
      <c r="A360" s="24">
        <v>56</v>
      </c>
      <c r="B360" s="25" t="s">
        <v>27</v>
      </c>
      <c r="C360" s="24" t="s">
        <v>24</v>
      </c>
      <c r="D360" s="24" t="s">
        <v>25</v>
      </c>
      <c r="E360" s="24" t="s">
        <v>26</v>
      </c>
      <c r="F360" s="24"/>
      <c r="G360" s="13"/>
      <c r="H360" s="24">
        <v>17</v>
      </c>
      <c r="I360" s="66">
        <f t="shared" si="33"/>
        <v>17</v>
      </c>
      <c r="J360" s="15">
        <f t="shared" si="34"/>
        <v>4095.2377920000004</v>
      </c>
      <c r="K360" s="15">
        <f t="shared" si="35"/>
        <v>69619.042464000013</v>
      </c>
      <c r="L360" s="24">
        <v>52163</v>
      </c>
      <c r="M360" s="103"/>
      <c r="N360" s="13">
        <v>23.2</v>
      </c>
      <c r="O360" s="13">
        <v>25.98</v>
      </c>
      <c r="P360" s="13">
        <v>21.38</v>
      </c>
      <c r="Q360" s="16">
        <v>157.63040000000001</v>
      </c>
      <c r="R360" s="13"/>
    </row>
    <row r="361" spans="1:18" x14ac:dyDescent="0.25">
      <c r="A361" s="24">
        <v>57</v>
      </c>
      <c r="B361" s="25" t="s">
        <v>23</v>
      </c>
      <c r="C361" s="24" t="s">
        <v>28</v>
      </c>
      <c r="D361" s="24" t="s">
        <v>25</v>
      </c>
      <c r="E361" s="24" t="s">
        <v>26</v>
      </c>
      <c r="F361" s="24"/>
      <c r="G361" s="13"/>
      <c r="H361" s="24">
        <v>12</v>
      </c>
      <c r="I361" s="66">
        <f t="shared" si="33"/>
        <v>12</v>
      </c>
      <c r="J361" s="15">
        <f t="shared" si="34"/>
        <v>3035.9615040000003</v>
      </c>
      <c r="K361" s="15">
        <f t="shared" si="35"/>
        <v>36431.538048000002</v>
      </c>
      <c r="L361" s="24">
        <v>52163</v>
      </c>
      <c r="M361" s="103"/>
      <c r="N361" s="13">
        <v>17.2</v>
      </c>
      <c r="O361" s="13">
        <v>19.260000000000002</v>
      </c>
      <c r="P361" s="13">
        <v>15.85</v>
      </c>
      <c r="Q361" s="16">
        <v>157.63040000000001</v>
      </c>
      <c r="R361" s="13"/>
    </row>
    <row r="362" spans="1:18" x14ac:dyDescent="0.25">
      <c r="A362" s="24">
        <v>58</v>
      </c>
      <c r="B362" s="25" t="s">
        <v>27</v>
      </c>
      <c r="C362" s="24" t="s">
        <v>28</v>
      </c>
      <c r="D362" s="24" t="s">
        <v>25</v>
      </c>
      <c r="E362" s="24" t="s">
        <v>26</v>
      </c>
      <c r="F362" s="24"/>
      <c r="G362" s="13"/>
      <c r="H362" s="24">
        <v>1</v>
      </c>
      <c r="I362" s="66">
        <f t="shared" si="33"/>
        <v>1</v>
      </c>
      <c r="J362" s="15">
        <f t="shared" si="34"/>
        <v>4095.2377920000004</v>
      </c>
      <c r="K362" s="15">
        <f t="shared" si="35"/>
        <v>4095.2377920000004</v>
      </c>
      <c r="L362" s="24">
        <v>52163</v>
      </c>
      <c r="M362" s="103"/>
      <c r="N362" s="13">
        <v>23.2</v>
      </c>
      <c r="O362" s="13">
        <v>25.98</v>
      </c>
      <c r="P362" s="13">
        <v>21.38</v>
      </c>
      <c r="Q362" s="16">
        <v>157.63040000000001</v>
      </c>
      <c r="R362" s="13"/>
    </row>
    <row r="363" spans="1:18" x14ac:dyDescent="0.25">
      <c r="A363" s="24">
        <v>59</v>
      </c>
      <c r="B363" s="25" t="s">
        <v>23</v>
      </c>
      <c r="C363" s="24" t="s">
        <v>323</v>
      </c>
      <c r="D363" s="24" t="s">
        <v>25</v>
      </c>
      <c r="E363" s="24" t="s">
        <v>26</v>
      </c>
      <c r="F363" s="24"/>
      <c r="G363" s="13"/>
      <c r="H363" s="24">
        <v>1</v>
      </c>
      <c r="I363" s="66">
        <f t="shared" si="33"/>
        <v>1</v>
      </c>
      <c r="J363" s="15">
        <f t="shared" si="34"/>
        <v>3035.9615040000003</v>
      </c>
      <c r="K363" s="15">
        <f t="shared" si="35"/>
        <v>3035.9615040000003</v>
      </c>
      <c r="L363" s="24">
        <v>52163</v>
      </c>
      <c r="M363" s="103"/>
      <c r="N363" s="13">
        <v>17.2</v>
      </c>
      <c r="O363" s="13">
        <v>19.260000000000002</v>
      </c>
      <c r="P363" s="13">
        <v>15.85</v>
      </c>
      <c r="Q363" s="16">
        <v>157.63040000000001</v>
      </c>
      <c r="R363" s="13"/>
    </row>
    <row r="364" spans="1:18" x14ac:dyDescent="0.25">
      <c r="A364" s="24">
        <v>60</v>
      </c>
      <c r="B364" s="25" t="s">
        <v>89</v>
      </c>
      <c r="C364" s="24" t="s">
        <v>127</v>
      </c>
      <c r="D364" s="24" t="s">
        <v>31</v>
      </c>
      <c r="E364" s="24" t="s">
        <v>26</v>
      </c>
      <c r="F364" s="24"/>
      <c r="G364" s="13"/>
      <c r="H364" s="24">
        <v>7</v>
      </c>
      <c r="I364" s="66">
        <f t="shared" si="33"/>
        <v>7</v>
      </c>
      <c r="J364" s="15">
        <f t="shared" si="34"/>
        <v>1536.8964000000001</v>
      </c>
      <c r="K364" s="15">
        <f t="shared" si="35"/>
        <v>10758.274800000001</v>
      </c>
      <c r="L364" s="24">
        <v>52163</v>
      </c>
      <c r="M364" s="103"/>
      <c r="N364" s="13">
        <v>8.7100000000000009</v>
      </c>
      <c r="O364" s="13">
        <v>9.75</v>
      </c>
      <c r="P364" s="13">
        <v>8.02</v>
      </c>
      <c r="Q364" s="16">
        <v>157.63040000000001</v>
      </c>
      <c r="R364" s="13"/>
    </row>
    <row r="365" spans="1:18" x14ac:dyDescent="0.25">
      <c r="A365" s="24">
        <v>61</v>
      </c>
      <c r="B365" s="25" t="s">
        <v>89</v>
      </c>
      <c r="C365" s="24" t="s">
        <v>324</v>
      </c>
      <c r="D365" s="24" t="s">
        <v>36</v>
      </c>
      <c r="E365" s="24" t="s">
        <v>26</v>
      </c>
      <c r="F365" s="24"/>
      <c r="G365" s="13"/>
      <c r="H365" s="24">
        <v>23</v>
      </c>
      <c r="I365" s="66">
        <f t="shared" si="33"/>
        <v>23</v>
      </c>
      <c r="J365" s="15">
        <f t="shared" si="34"/>
        <v>1536.8964000000001</v>
      </c>
      <c r="K365" s="15">
        <f t="shared" si="35"/>
        <v>35348.617200000001</v>
      </c>
      <c r="L365" s="24">
        <v>52163</v>
      </c>
      <c r="M365" s="103"/>
      <c r="N365" s="13">
        <v>8.7100000000000009</v>
      </c>
      <c r="O365" s="13">
        <v>9.75</v>
      </c>
      <c r="P365" s="13">
        <v>8.02</v>
      </c>
      <c r="Q365" s="16">
        <v>157.63040000000001</v>
      </c>
      <c r="R365" s="13"/>
    </row>
    <row r="366" spans="1:18" x14ac:dyDescent="0.25">
      <c r="A366" s="24">
        <v>62</v>
      </c>
      <c r="B366" s="25" t="s">
        <v>89</v>
      </c>
      <c r="C366" s="24" t="s">
        <v>325</v>
      </c>
      <c r="D366" s="24" t="s">
        <v>31</v>
      </c>
      <c r="E366" s="24" t="s">
        <v>26</v>
      </c>
      <c r="F366" s="24"/>
      <c r="G366" s="13"/>
      <c r="H366" s="24">
        <v>3</v>
      </c>
      <c r="I366" s="66">
        <f t="shared" si="33"/>
        <v>3</v>
      </c>
      <c r="J366" s="15">
        <f t="shared" si="34"/>
        <v>1536.8964000000001</v>
      </c>
      <c r="K366" s="15">
        <f t="shared" si="35"/>
        <v>4610.6892000000007</v>
      </c>
      <c r="L366" s="24">
        <v>52163</v>
      </c>
      <c r="M366" s="103"/>
      <c r="N366" s="13">
        <v>8.7100000000000009</v>
      </c>
      <c r="O366" s="13">
        <v>9.75</v>
      </c>
      <c r="P366" s="13">
        <v>8.02</v>
      </c>
      <c r="Q366" s="16">
        <v>157.63040000000001</v>
      </c>
      <c r="R366" s="13"/>
    </row>
    <row r="367" spans="1:18" x14ac:dyDescent="0.25">
      <c r="A367" s="24">
        <v>63</v>
      </c>
      <c r="B367" s="25" t="s">
        <v>89</v>
      </c>
      <c r="C367" s="24" t="s">
        <v>326</v>
      </c>
      <c r="D367" s="24" t="s">
        <v>36</v>
      </c>
      <c r="E367" s="24" t="s">
        <v>26</v>
      </c>
      <c r="F367" s="24"/>
      <c r="G367" s="13"/>
      <c r="H367" s="24">
        <v>3</v>
      </c>
      <c r="I367" s="66">
        <f t="shared" si="33"/>
        <v>3</v>
      </c>
      <c r="J367" s="15">
        <f t="shared" si="34"/>
        <v>1536.8964000000001</v>
      </c>
      <c r="K367" s="15">
        <f t="shared" si="35"/>
        <v>4610.6892000000007</v>
      </c>
      <c r="L367" s="24">
        <v>52163</v>
      </c>
      <c r="M367" s="103"/>
      <c r="N367" s="13">
        <v>8.7100000000000009</v>
      </c>
      <c r="O367" s="13">
        <v>9.75</v>
      </c>
      <c r="P367" s="13">
        <v>8.02</v>
      </c>
      <c r="Q367" s="16">
        <v>157.63040000000001</v>
      </c>
      <c r="R367" s="13"/>
    </row>
    <row r="368" spans="1:18" x14ac:dyDescent="0.25">
      <c r="A368" s="24">
        <v>64</v>
      </c>
      <c r="B368" s="25" t="s">
        <v>89</v>
      </c>
      <c r="C368" s="24" t="s">
        <v>325</v>
      </c>
      <c r="D368" s="24" t="s">
        <v>36</v>
      </c>
      <c r="E368" s="24" t="s">
        <v>26</v>
      </c>
      <c r="F368" s="24"/>
      <c r="G368" s="13"/>
      <c r="H368" s="24">
        <v>6</v>
      </c>
      <c r="I368" s="66">
        <f t="shared" si="33"/>
        <v>6</v>
      </c>
      <c r="J368" s="15">
        <f t="shared" si="34"/>
        <v>1536.8964000000001</v>
      </c>
      <c r="K368" s="15">
        <f t="shared" si="35"/>
        <v>9221.3784000000014</v>
      </c>
      <c r="L368" s="24">
        <v>52163</v>
      </c>
      <c r="M368" s="103"/>
      <c r="N368" s="13">
        <v>8.7100000000000009</v>
      </c>
      <c r="O368" s="13">
        <v>9.75</v>
      </c>
      <c r="P368" s="13">
        <v>8.02</v>
      </c>
      <c r="Q368" s="16">
        <v>157.63040000000001</v>
      </c>
      <c r="R368" s="13"/>
    </row>
    <row r="369" spans="1:18" x14ac:dyDescent="0.25">
      <c r="A369" s="24">
        <v>65</v>
      </c>
      <c r="B369" s="25" t="s">
        <v>89</v>
      </c>
      <c r="C369" s="24" t="s">
        <v>327</v>
      </c>
      <c r="D369" s="24" t="s">
        <v>36</v>
      </c>
      <c r="E369" s="24" t="s">
        <v>26</v>
      </c>
      <c r="F369" s="24"/>
      <c r="G369" s="13"/>
      <c r="H369" s="24">
        <v>7</v>
      </c>
      <c r="I369" s="66">
        <f t="shared" si="33"/>
        <v>7</v>
      </c>
      <c r="J369" s="15">
        <f t="shared" si="34"/>
        <v>1536.8964000000001</v>
      </c>
      <c r="K369" s="15">
        <f t="shared" si="35"/>
        <v>10758.274800000001</v>
      </c>
      <c r="L369" s="24">
        <v>52164</v>
      </c>
      <c r="M369" s="103"/>
      <c r="N369" s="13">
        <v>8.7100000000000009</v>
      </c>
      <c r="O369" s="13">
        <v>9.75</v>
      </c>
      <c r="P369" s="13">
        <v>8.02</v>
      </c>
      <c r="Q369" s="16">
        <v>157.63040000000001</v>
      </c>
      <c r="R369" s="13"/>
    </row>
    <row r="370" spans="1:18" x14ac:dyDescent="0.25">
      <c r="A370" s="24">
        <v>66</v>
      </c>
      <c r="B370" s="25" t="s">
        <v>89</v>
      </c>
      <c r="C370" s="24" t="s">
        <v>328</v>
      </c>
      <c r="D370" s="24" t="s">
        <v>36</v>
      </c>
      <c r="E370" s="24" t="s">
        <v>26</v>
      </c>
      <c r="F370" s="24"/>
      <c r="G370" s="13"/>
      <c r="H370" s="24">
        <v>11</v>
      </c>
      <c r="I370" s="66">
        <f t="shared" ref="I370:I433" si="36">SUM(F370:H370)</f>
        <v>11</v>
      </c>
      <c r="J370" s="15">
        <f t="shared" ref="J370:J433" si="37">O370*Q370</f>
        <v>1536.8964000000001</v>
      </c>
      <c r="K370" s="15">
        <f t="shared" ref="K370:K433" si="38">J370*I370</f>
        <v>16905.860400000001</v>
      </c>
      <c r="L370" s="24">
        <v>52164</v>
      </c>
      <c r="M370" s="103"/>
      <c r="N370" s="13">
        <v>8.7100000000000009</v>
      </c>
      <c r="O370" s="13">
        <v>9.75</v>
      </c>
      <c r="P370" s="13">
        <v>8.02</v>
      </c>
      <c r="Q370" s="16">
        <v>157.63040000000001</v>
      </c>
      <c r="R370" s="13"/>
    </row>
    <row r="371" spans="1:18" x14ac:dyDescent="0.25">
      <c r="A371" s="24">
        <v>67</v>
      </c>
      <c r="B371" s="25" t="s">
        <v>89</v>
      </c>
      <c r="C371" s="24" t="s">
        <v>329</v>
      </c>
      <c r="D371" s="24" t="s">
        <v>36</v>
      </c>
      <c r="E371" s="24" t="s">
        <v>26</v>
      </c>
      <c r="F371" s="24"/>
      <c r="G371" s="13"/>
      <c r="H371" s="24">
        <v>21</v>
      </c>
      <c r="I371" s="66">
        <f t="shared" si="36"/>
        <v>21</v>
      </c>
      <c r="J371" s="15">
        <f t="shared" si="37"/>
        <v>1536.8964000000001</v>
      </c>
      <c r="K371" s="15">
        <f t="shared" si="38"/>
        <v>32274.824400000001</v>
      </c>
      <c r="L371" s="24">
        <v>52164</v>
      </c>
      <c r="M371" s="103"/>
      <c r="N371" s="13">
        <v>8.7100000000000009</v>
      </c>
      <c r="O371" s="13">
        <v>9.75</v>
      </c>
      <c r="P371" s="13">
        <v>8.02</v>
      </c>
      <c r="Q371" s="16">
        <v>157.63040000000001</v>
      </c>
      <c r="R371" s="13"/>
    </row>
    <row r="372" spans="1:18" x14ac:dyDescent="0.25">
      <c r="A372" s="24">
        <v>68</v>
      </c>
      <c r="B372" s="25" t="s">
        <v>89</v>
      </c>
      <c r="C372" s="24" t="s">
        <v>330</v>
      </c>
      <c r="D372" s="24" t="s">
        <v>31</v>
      </c>
      <c r="E372" s="24" t="s">
        <v>26</v>
      </c>
      <c r="F372" s="24"/>
      <c r="G372" s="13"/>
      <c r="H372" s="24">
        <v>3</v>
      </c>
      <c r="I372" s="66">
        <f t="shared" si="36"/>
        <v>3</v>
      </c>
      <c r="J372" s="15">
        <f t="shared" si="37"/>
        <v>1536.8964000000001</v>
      </c>
      <c r="K372" s="15">
        <f t="shared" si="38"/>
        <v>4610.6892000000007</v>
      </c>
      <c r="L372" s="24">
        <v>52164</v>
      </c>
      <c r="M372" s="103"/>
      <c r="N372" s="13">
        <v>8.7100000000000009</v>
      </c>
      <c r="O372" s="13">
        <v>9.75</v>
      </c>
      <c r="P372" s="13">
        <v>8.02</v>
      </c>
      <c r="Q372" s="16">
        <v>157.63040000000001</v>
      </c>
      <c r="R372" s="13"/>
    </row>
    <row r="373" spans="1:18" x14ac:dyDescent="0.25">
      <c r="A373" s="24">
        <v>69</v>
      </c>
      <c r="B373" s="25" t="s">
        <v>89</v>
      </c>
      <c r="C373" s="24" t="s">
        <v>331</v>
      </c>
      <c r="D373" s="24" t="s">
        <v>36</v>
      </c>
      <c r="E373" s="24" t="s">
        <v>26</v>
      </c>
      <c r="F373" s="24"/>
      <c r="G373" s="13"/>
      <c r="H373" s="24">
        <v>22</v>
      </c>
      <c r="I373" s="66">
        <f t="shared" si="36"/>
        <v>22</v>
      </c>
      <c r="J373" s="15">
        <f t="shared" si="37"/>
        <v>1536.8964000000001</v>
      </c>
      <c r="K373" s="15">
        <f t="shared" si="38"/>
        <v>33811.720800000003</v>
      </c>
      <c r="L373" s="24">
        <v>52164</v>
      </c>
      <c r="M373" s="103"/>
      <c r="N373" s="13">
        <v>8.7100000000000009</v>
      </c>
      <c r="O373" s="13">
        <v>9.75</v>
      </c>
      <c r="P373" s="13">
        <v>8.02</v>
      </c>
      <c r="Q373" s="16">
        <v>157.63040000000001</v>
      </c>
      <c r="R373" s="13"/>
    </row>
    <row r="374" spans="1:18" x14ac:dyDescent="0.25">
      <c r="A374" s="24">
        <v>70</v>
      </c>
      <c r="B374" s="25" t="s">
        <v>89</v>
      </c>
      <c r="C374" s="24" t="s">
        <v>123</v>
      </c>
      <c r="D374" s="24" t="s">
        <v>36</v>
      </c>
      <c r="E374" s="24" t="s">
        <v>26</v>
      </c>
      <c r="F374" s="24"/>
      <c r="G374" s="13"/>
      <c r="H374" s="24">
        <v>29</v>
      </c>
      <c r="I374" s="66">
        <f t="shared" si="36"/>
        <v>29</v>
      </c>
      <c r="J374" s="15">
        <f t="shared" si="37"/>
        <v>1536.8964000000001</v>
      </c>
      <c r="K374" s="15">
        <f t="shared" si="38"/>
        <v>44569.995600000002</v>
      </c>
      <c r="L374" s="24">
        <v>52164</v>
      </c>
      <c r="M374" s="103"/>
      <c r="N374" s="13">
        <v>8.7100000000000009</v>
      </c>
      <c r="O374" s="13">
        <v>9.75</v>
      </c>
      <c r="P374" s="13">
        <v>8.02</v>
      </c>
      <c r="Q374" s="16">
        <v>157.63040000000001</v>
      </c>
      <c r="R374" s="13"/>
    </row>
    <row r="375" spans="1:18" x14ac:dyDescent="0.25">
      <c r="A375" s="24">
        <v>71</v>
      </c>
      <c r="B375" s="25" t="s">
        <v>89</v>
      </c>
      <c r="C375" s="24" t="s">
        <v>43</v>
      </c>
      <c r="D375" s="24" t="s">
        <v>36</v>
      </c>
      <c r="E375" s="24" t="s">
        <v>26</v>
      </c>
      <c r="F375" s="24"/>
      <c r="G375" s="13"/>
      <c r="H375" s="24">
        <v>34</v>
      </c>
      <c r="I375" s="66">
        <f t="shared" si="36"/>
        <v>34</v>
      </c>
      <c r="J375" s="15">
        <f t="shared" si="37"/>
        <v>1536.8964000000001</v>
      </c>
      <c r="K375" s="15">
        <f t="shared" si="38"/>
        <v>52254.477600000006</v>
      </c>
      <c r="L375" s="24">
        <v>52164</v>
      </c>
      <c r="M375" s="103"/>
      <c r="N375" s="13">
        <v>8.7100000000000009</v>
      </c>
      <c r="O375" s="13">
        <v>9.75</v>
      </c>
      <c r="P375" s="13">
        <v>8.02</v>
      </c>
      <c r="Q375" s="16">
        <v>157.63040000000001</v>
      </c>
      <c r="R375" s="13"/>
    </row>
    <row r="376" spans="1:18" x14ac:dyDescent="0.25">
      <c r="A376" s="24">
        <v>72</v>
      </c>
      <c r="B376" s="25" t="s">
        <v>89</v>
      </c>
      <c r="C376" s="24" t="s">
        <v>129</v>
      </c>
      <c r="D376" s="24" t="s">
        <v>36</v>
      </c>
      <c r="E376" s="24" t="s">
        <v>26</v>
      </c>
      <c r="F376" s="24"/>
      <c r="G376" s="13"/>
      <c r="H376" s="24">
        <v>10</v>
      </c>
      <c r="I376" s="66">
        <f t="shared" si="36"/>
        <v>10</v>
      </c>
      <c r="J376" s="15">
        <f t="shared" si="37"/>
        <v>1536.8964000000001</v>
      </c>
      <c r="K376" s="15">
        <f t="shared" si="38"/>
        <v>15368.964</v>
      </c>
      <c r="L376" s="24">
        <v>52164</v>
      </c>
      <c r="M376" s="103"/>
      <c r="N376" s="13">
        <v>8.7100000000000009</v>
      </c>
      <c r="O376" s="13">
        <v>9.75</v>
      </c>
      <c r="P376" s="13">
        <v>8.02</v>
      </c>
      <c r="Q376" s="16">
        <v>157.63040000000001</v>
      </c>
      <c r="R376" s="13"/>
    </row>
    <row r="377" spans="1:18" x14ac:dyDescent="0.25">
      <c r="A377" s="24">
        <v>73</v>
      </c>
      <c r="B377" s="25" t="s">
        <v>89</v>
      </c>
      <c r="C377" s="24" t="s">
        <v>102</v>
      </c>
      <c r="D377" s="24" t="s">
        <v>36</v>
      </c>
      <c r="E377" s="24" t="s">
        <v>26</v>
      </c>
      <c r="F377" s="24"/>
      <c r="G377" s="13"/>
      <c r="H377" s="24">
        <v>8</v>
      </c>
      <c r="I377" s="66">
        <f t="shared" si="36"/>
        <v>8</v>
      </c>
      <c r="J377" s="15">
        <f t="shared" si="37"/>
        <v>1536.8964000000001</v>
      </c>
      <c r="K377" s="15">
        <f t="shared" si="38"/>
        <v>12295.171200000001</v>
      </c>
      <c r="L377" s="24">
        <v>52164</v>
      </c>
      <c r="M377" s="103"/>
      <c r="N377" s="13">
        <v>8.7100000000000009</v>
      </c>
      <c r="O377" s="13">
        <v>9.75</v>
      </c>
      <c r="P377" s="13">
        <v>8.02</v>
      </c>
      <c r="Q377" s="16">
        <v>157.63040000000001</v>
      </c>
      <c r="R377" s="13"/>
    </row>
    <row r="378" spans="1:18" x14ac:dyDescent="0.25">
      <c r="A378" s="24">
        <v>74</v>
      </c>
      <c r="B378" s="25" t="s">
        <v>89</v>
      </c>
      <c r="C378" s="24" t="s">
        <v>130</v>
      </c>
      <c r="D378" s="24" t="s">
        <v>36</v>
      </c>
      <c r="E378" s="24" t="s">
        <v>26</v>
      </c>
      <c r="F378" s="24"/>
      <c r="G378" s="13"/>
      <c r="H378" s="24">
        <v>19</v>
      </c>
      <c r="I378" s="66">
        <f t="shared" si="36"/>
        <v>19</v>
      </c>
      <c r="J378" s="15">
        <f t="shared" si="37"/>
        <v>1536.8964000000001</v>
      </c>
      <c r="K378" s="15">
        <f t="shared" si="38"/>
        <v>29201.031600000002</v>
      </c>
      <c r="L378" s="24">
        <v>52164</v>
      </c>
      <c r="M378" s="103"/>
      <c r="N378" s="13">
        <v>8.7100000000000009</v>
      </c>
      <c r="O378" s="13">
        <v>9.75</v>
      </c>
      <c r="P378" s="13">
        <v>8.02</v>
      </c>
      <c r="Q378" s="16">
        <v>157.63040000000001</v>
      </c>
      <c r="R378" s="13"/>
    </row>
    <row r="379" spans="1:18" x14ac:dyDescent="0.25">
      <c r="A379" s="24">
        <v>75</v>
      </c>
      <c r="B379" s="25" t="s">
        <v>89</v>
      </c>
      <c r="C379" s="24" t="s">
        <v>332</v>
      </c>
      <c r="D379" s="24" t="s">
        <v>36</v>
      </c>
      <c r="E379" s="24" t="s">
        <v>26</v>
      </c>
      <c r="F379" s="24"/>
      <c r="G379" s="13"/>
      <c r="H379" s="24">
        <v>27</v>
      </c>
      <c r="I379" s="66">
        <f t="shared" si="36"/>
        <v>27</v>
      </c>
      <c r="J379" s="15">
        <f t="shared" si="37"/>
        <v>1536.8964000000001</v>
      </c>
      <c r="K379" s="15">
        <f t="shared" si="38"/>
        <v>41496.202799999999</v>
      </c>
      <c r="L379" s="24">
        <v>52164</v>
      </c>
      <c r="M379" s="103"/>
      <c r="N379" s="13">
        <v>8.7100000000000009</v>
      </c>
      <c r="O379" s="13">
        <v>9.75</v>
      </c>
      <c r="P379" s="13">
        <v>8.02</v>
      </c>
      <c r="Q379" s="16">
        <v>157.63040000000001</v>
      </c>
      <c r="R379" s="13"/>
    </row>
    <row r="380" spans="1:18" x14ac:dyDescent="0.25">
      <c r="A380" s="24">
        <v>76</v>
      </c>
      <c r="B380" s="25" t="s">
        <v>89</v>
      </c>
      <c r="C380" s="24" t="s">
        <v>333</v>
      </c>
      <c r="D380" s="24" t="s">
        <v>36</v>
      </c>
      <c r="E380" s="24" t="s">
        <v>26</v>
      </c>
      <c r="F380" s="24"/>
      <c r="G380" s="13"/>
      <c r="H380" s="24">
        <v>9</v>
      </c>
      <c r="I380" s="66">
        <f t="shared" si="36"/>
        <v>9</v>
      </c>
      <c r="J380" s="15">
        <f t="shared" si="37"/>
        <v>1536.8964000000001</v>
      </c>
      <c r="K380" s="15">
        <f t="shared" si="38"/>
        <v>13832.0676</v>
      </c>
      <c r="L380" s="24">
        <v>52164</v>
      </c>
      <c r="M380" s="103"/>
      <c r="N380" s="13">
        <v>8.7100000000000009</v>
      </c>
      <c r="O380" s="13">
        <v>9.75</v>
      </c>
      <c r="P380" s="13">
        <v>8.02</v>
      </c>
      <c r="Q380" s="16">
        <v>157.63040000000001</v>
      </c>
      <c r="R380" s="13"/>
    </row>
    <row r="381" spans="1:18" x14ac:dyDescent="0.25">
      <c r="A381" s="24">
        <v>77</v>
      </c>
      <c r="B381" s="25" t="s">
        <v>89</v>
      </c>
      <c r="C381" s="24" t="s">
        <v>334</v>
      </c>
      <c r="D381" s="24" t="s">
        <v>36</v>
      </c>
      <c r="E381" s="24" t="s">
        <v>26</v>
      </c>
      <c r="F381" s="24"/>
      <c r="G381" s="13"/>
      <c r="H381" s="24">
        <v>6</v>
      </c>
      <c r="I381" s="66">
        <f t="shared" si="36"/>
        <v>6</v>
      </c>
      <c r="J381" s="15">
        <f t="shared" si="37"/>
        <v>1536.8964000000001</v>
      </c>
      <c r="K381" s="15">
        <f t="shared" si="38"/>
        <v>9221.3784000000014</v>
      </c>
      <c r="L381" s="24">
        <v>52164</v>
      </c>
      <c r="M381" s="103"/>
      <c r="N381" s="13">
        <v>8.7100000000000009</v>
      </c>
      <c r="O381" s="13">
        <v>9.75</v>
      </c>
      <c r="P381" s="13">
        <v>8.02</v>
      </c>
      <c r="Q381" s="16">
        <v>157.63040000000001</v>
      </c>
      <c r="R381" s="13"/>
    </row>
    <row r="382" spans="1:18" x14ac:dyDescent="0.25">
      <c r="A382" s="24">
        <v>78</v>
      </c>
      <c r="B382" s="25" t="s">
        <v>89</v>
      </c>
      <c r="C382" s="24" t="s">
        <v>335</v>
      </c>
      <c r="D382" s="24" t="s">
        <v>36</v>
      </c>
      <c r="E382" s="24" t="s">
        <v>26</v>
      </c>
      <c r="F382" s="24"/>
      <c r="G382" s="13"/>
      <c r="H382" s="24">
        <v>7</v>
      </c>
      <c r="I382" s="66">
        <f t="shared" si="36"/>
        <v>7</v>
      </c>
      <c r="J382" s="15">
        <f t="shared" si="37"/>
        <v>1536.8964000000001</v>
      </c>
      <c r="K382" s="15">
        <f t="shared" si="38"/>
        <v>10758.274800000001</v>
      </c>
      <c r="L382" s="24">
        <v>52165</v>
      </c>
      <c r="M382" s="103"/>
      <c r="N382" s="13">
        <v>8.7100000000000009</v>
      </c>
      <c r="O382" s="13">
        <v>9.75</v>
      </c>
      <c r="P382" s="13">
        <v>8.02</v>
      </c>
      <c r="Q382" s="16">
        <v>157.63040000000001</v>
      </c>
      <c r="R382" s="13"/>
    </row>
    <row r="383" spans="1:18" x14ac:dyDescent="0.25">
      <c r="A383" s="24">
        <v>79</v>
      </c>
      <c r="B383" s="25" t="s">
        <v>89</v>
      </c>
      <c r="C383" s="31">
        <v>3</v>
      </c>
      <c r="D383" s="24" t="s">
        <v>36</v>
      </c>
      <c r="E383" s="24" t="s">
        <v>26</v>
      </c>
      <c r="F383" s="24"/>
      <c r="G383" s="13"/>
      <c r="H383" s="24">
        <v>3</v>
      </c>
      <c r="I383" s="66">
        <f t="shared" si="36"/>
        <v>3</v>
      </c>
      <c r="J383" s="15">
        <f t="shared" si="37"/>
        <v>1536.8964000000001</v>
      </c>
      <c r="K383" s="15">
        <f t="shared" si="38"/>
        <v>4610.6892000000007</v>
      </c>
      <c r="L383" s="24">
        <v>52165</v>
      </c>
      <c r="M383" s="103"/>
      <c r="N383" s="13">
        <v>8.7100000000000009</v>
      </c>
      <c r="O383" s="13">
        <v>9.75</v>
      </c>
      <c r="P383" s="13">
        <v>8.02</v>
      </c>
      <c r="Q383" s="16">
        <v>157.63040000000001</v>
      </c>
      <c r="R383" s="13"/>
    </row>
    <row r="384" spans="1:18" x14ac:dyDescent="0.25">
      <c r="A384" s="24">
        <v>80</v>
      </c>
      <c r="B384" s="25" t="s">
        <v>89</v>
      </c>
      <c r="C384" s="24" t="s">
        <v>125</v>
      </c>
      <c r="D384" s="24" t="s">
        <v>36</v>
      </c>
      <c r="E384" s="24" t="s">
        <v>26</v>
      </c>
      <c r="F384" s="24"/>
      <c r="G384" s="13"/>
      <c r="H384" s="24">
        <v>9</v>
      </c>
      <c r="I384" s="66">
        <f t="shared" si="36"/>
        <v>9</v>
      </c>
      <c r="J384" s="15">
        <f t="shared" si="37"/>
        <v>1536.8964000000001</v>
      </c>
      <c r="K384" s="15">
        <f t="shared" si="38"/>
        <v>13832.0676</v>
      </c>
      <c r="L384" s="24">
        <v>52165</v>
      </c>
      <c r="M384" s="103"/>
      <c r="N384" s="13">
        <v>8.7100000000000009</v>
      </c>
      <c r="O384" s="13">
        <v>9.75</v>
      </c>
      <c r="P384" s="13">
        <v>8.02</v>
      </c>
      <c r="Q384" s="16">
        <v>157.63040000000001</v>
      </c>
      <c r="R384" s="13"/>
    </row>
    <row r="385" spans="1:18" x14ac:dyDescent="0.25">
      <c r="A385" s="24">
        <v>81</v>
      </c>
      <c r="B385" s="25" t="s">
        <v>89</v>
      </c>
      <c r="C385" s="24" t="s">
        <v>92</v>
      </c>
      <c r="D385" s="24" t="s">
        <v>36</v>
      </c>
      <c r="E385" s="24" t="s">
        <v>26</v>
      </c>
      <c r="F385" s="24"/>
      <c r="G385" s="13"/>
      <c r="H385" s="24">
        <v>8</v>
      </c>
      <c r="I385" s="66">
        <f t="shared" si="36"/>
        <v>8</v>
      </c>
      <c r="J385" s="15">
        <f t="shared" si="37"/>
        <v>1536.8964000000001</v>
      </c>
      <c r="K385" s="15">
        <f t="shared" si="38"/>
        <v>12295.171200000001</v>
      </c>
      <c r="L385" s="24">
        <v>52165</v>
      </c>
      <c r="M385" s="103"/>
      <c r="N385" s="13">
        <v>8.7100000000000009</v>
      </c>
      <c r="O385" s="13">
        <v>9.75</v>
      </c>
      <c r="P385" s="13">
        <v>8.02</v>
      </c>
      <c r="Q385" s="16">
        <v>157.63040000000001</v>
      </c>
      <c r="R385" s="13"/>
    </row>
    <row r="386" spans="1:18" x14ac:dyDescent="0.25">
      <c r="A386" s="24">
        <v>82</v>
      </c>
      <c r="B386" s="25" t="s">
        <v>89</v>
      </c>
      <c r="C386" s="24" t="s">
        <v>336</v>
      </c>
      <c r="D386" s="24" t="s">
        <v>36</v>
      </c>
      <c r="E386" s="24" t="s">
        <v>26</v>
      </c>
      <c r="F386" s="24"/>
      <c r="G386" s="13"/>
      <c r="H386" s="24">
        <v>6</v>
      </c>
      <c r="I386" s="66">
        <f t="shared" si="36"/>
        <v>6</v>
      </c>
      <c r="J386" s="15">
        <f t="shared" si="37"/>
        <v>1536.8964000000001</v>
      </c>
      <c r="K386" s="15">
        <f t="shared" si="38"/>
        <v>9221.3784000000014</v>
      </c>
      <c r="L386" s="24">
        <v>52165</v>
      </c>
      <c r="M386" s="103"/>
      <c r="N386" s="13">
        <v>8.7100000000000009</v>
      </c>
      <c r="O386" s="13">
        <v>9.75</v>
      </c>
      <c r="P386" s="13">
        <v>8.02</v>
      </c>
      <c r="Q386" s="16">
        <v>157.63040000000001</v>
      </c>
      <c r="R386" s="13"/>
    </row>
    <row r="387" spans="1:18" x14ac:dyDescent="0.25">
      <c r="A387" s="24">
        <v>83</v>
      </c>
      <c r="B387" s="25" t="s">
        <v>89</v>
      </c>
      <c r="C387" s="24" t="s">
        <v>337</v>
      </c>
      <c r="D387" s="24" t="s">
        <v>36</v>
      </c>
      <c r="E387" s="24" t="s">
        <v>26</v>
      </c>
      <c r="F387" s="24"/>
      <c r="G387" s="13"/>
      <c r="H387" s="24">
        <v>5</v>
      </c>
      <c r="I387" s="66">
        <f t="shared" si="36"/>
        <v>5</v>
      </c>
      <c r="J387" s="15">
        <f t="shared" si="37"/>
        <v>1536.8964000000001</v>
      </c>
      <c r="K387" s="15">
        <f t="shared" si="38"/>
        <v>7684.482</v>
      </c>
      <c r="L387" s="24">
        <v>52165</v>
      </c>
      <c r="M387" s="102" t="s">
        <v>701</v>
      </c>
      <c r="N387" s="13">
        <v>8.7100000000000009</v>
      </c>
      <c r="O387" s="13">
        <v>9.75</v>
      </c>
      <c r="P387" s="13">
        <v>8.02</v>
      </c>
      <c r="Q387" s="16">
        <v>157.63040000000001</v>
      </c>
      <c r="R387" s="13"/>
    </row>
    <row r="388" spans="1:18" x14ac:dyDescent="0.25">
      <c r="A388" s="24">
        <v>84</v>
      </c>
      <c r="B388" s="25" t="s">
        <v>89</v>
      </c>
      <c r="C388" s="24" t="s">
        <v>117</v>
      </c>
      <c r="D388" s="24" t="s">
        <v>36</v>
      </c>
      <c r="E388" s="24" t="s">
        <v>26</v>
      </c>
      <c r="F388" s="24"/>
      <c r="G388" s="13"/>
      <c r="H388" s="24">
        <v>33</v>
      </c>
      <c r="I388" s="66">
        <f t="shared" si="36"/>
        <v>33</v>
      </c>
      <c r="J388" s="15">
        <f t="shared" si="37"/>
        <v>1536.8964000000001</v>
      </c>
      <c r="K388" s="15">
        <f t="shared" si="38"/>
        <v>50717.581200000001</v>
      </c>
      <c r="L388" s="24">
        <v>52165</v>
      </c>
      <c r="M388" s="103"/>
      <c r="N388" s="13">
        <v>8.7100000000000009</v>
      </c>
      <c r="O388" s="13">
        <v>9.75</v>
      </c>
      <c r="P388" s="13">
        <v>8.02</v>
      </c>
      <c r="Q388" s="16">
        <v>157.63040000000001</v>
      </c>
      <c r="R388" s="13"/>
    </row>
    <row r="389" spans="1:18" x14ac:dyDescent="0.25">
      <c r="A389" s="24">
        <v>85</v>
      </c>
      <c r="B389" s="25" t="s">
        <v>89</v>
      </c>
      <c r="C389" s="24" t="s">
        <v>108</v>
      </c>
      <c r="D389" s="24" t="s">
        <v>31</v>
      </c>
      <c r="E389" s="24" t="s">
        <v>26</v>
      </c>
      <c r="F389" s="24"/>
      <c r="G389" s="13"/>
      <c r="H389" s="24">
        <v>2</v>
      </c>
      <c r="I389" s="66">
        <f t="shared" si="36"/>
        <v>2</v>
      </c>
      <c r="J389" s="15">
        <f t="shared" si="37"/>
        <v>1536.8964000000001</v>
      </c>
      <c r="K389" s="15">
        <f t="shared" si="38"/>
        <v>3073.7928000000002</v>
      </c>
      <c r="L389" s="24">
        <v>52165</v>
      </c>
      <c r="M389" s="103"/>
      <c r="N389" s="13">
        <v>8.7100000000000009</v>
      </c>
      <c r="O389" s="13">
        <v>9.75</v>
      </c>
      <c r="P389" s="13">
        <v>8.02</v>
      </c>
      <c r="Q389" s="16">
        <v>157.63040000000001</v>
      </c>
      <c r="R389" s="13"/>
    </row>
    <row r="390" spans="1:18" x14ac:dyDescent="0.25">
      <c r="A390" s="24">
        <v>86</v>
      </c>
      <c r="B390" s="25" t="s">
        <v>89</v>
      </c>
      <c r="C390" s="24" t="s">
        <v>108</v>
      </c>
      <c r="D390" s="24" t="s">
        <v>36</v>
      </c>
      <c r="E390" s="24" t="s">
        <v>26</v>
      </c>
      <c r="F390" s="24"/>
      <c r="G390" s="13"/>
      <c r="H390" s="24">
        <v>4</v>
      </c>
      <c r="I390" s="66">
        <f t="shared" si="36"/>
        <v>4</v>
      </c>
      <c r="J390" s="15">
        <f t="shared" si="37"/>
        <v>1536.8964000000001</v>
      </c>
      <c r="K390" s="15">
        <f t="shared" si="38"/>
        <v>6147.5856000000003</v>
      </c>
      <c r="L390" s="24">
        <v>52165</v>
      </c>
      <c r="M390" s="103"/>
      <c r="N390" s="13">
        <v>8.7100000000000009</v>
      </c>
      <c r="O390" s="13">
        <v>9.75</v>
      </c>
      <c r="P390" s="13">
        <v>8.02</v>
      </c>
      <c r="Q390" s="16">
        <v>157.63040000000001</v>
      </c>
      <c r="R390" s="13"/>
    </row>
    <row r="391" spans="1:18" x14ac:dyDescent="0.25">
      <c r="A391" s="24">
        <v>87</v>
      </c>
      <c r="B391" s="25" t="s">
        <v>89</v>
      </c>
      <c r="C391" s="24" t="s">
        <v>92</v>
      </c>
      <c r="D391" s="24" t="s">
        <v>31</v>
      </c>
      <c r="E391" s="24" t="s">
        <v>26</v>
      </c>
      <c r="F391" s="24"/>
      <c r="G391" s="13"/>
      <c r="H391" s="24">
        <v>4</v>
      </c>
      <c r="I391" s="66">
        <f t="shared" si="36"/>
        <v>4</v>
      </c>
      <c r="J391" s="15">
        <f t="shared" si="37"/>
        <v>1536.8964000000001</v>
      </c>
      <c r="K391" s="15">
        <f t="shared" si="38"/>
        <v>6147.5856000000003</v>
      </c>
      <c r="L391" s="24">
        <v>52165</v>
      </c>
      <c r="M391" s="103"/>
      <c r="N391" s="13">
        <v>8.7100000000000009</v>
      </c>
      <c r="O391" s="13">
        <v>9.75</v>
      </c>
      <c r="P391" s="13">
        <v>8.02</v>
      </c>
      <c r="Q391" s="16">
        <v>157.63040000000001</v>
      </c>
      <c r="R391" s="13"/>
    </row>
    <row r="392" spans="1:18" x14ac:dyDescent="0.25">
      <c r="A392" s="24">
        <v>88</v>
      </c>
      <c r="B392" s="25" t="s">
        <v>89</v>
      </c>
      <c r="C392" s="24" t="s">
        <v>338</v>
      </c>
      <c r="D392" s="24" t="s">
        <v>36</v>
      </c>
      <c r="E392" s="24" t="s">
        <v>26</v>
      </c>
      <c r="F392" s="24"/>
      <c r="G392" s="13"/>
      <c r="H392" s="24">
        <v>6</v>
      </c>
      <c r="I392" s="66">
        <f t="shared" si="36"/>
        <v>6</v>
      </c>
      <c r="J392" s="15">
        <f t="shared" si="37"/>
        <v>1536.8964000000001</v>
      </c>
      <c r="K392" s="15">
        <f t="shared" si="38"/>
        <v>9221.3784000000014</v>
      </c>
      <c r="L392" s="24">
        <v>52165</v>
      </c>
      <c r="M392" s="103"/>
      <c r="N392" s="13">
        <v>8.7100000000000009</v>
      </c>
      <c r="O392" s="13">
        <v>9.75</v>
      </c>
      <c r="P392" s="13">
        <v>8.02</v>
      </c>
      <c r="Q392" s="16">
        <v>157.63040000000001</v>
      </c>
      <c r="R392" s="13"/>
    </row>
    <row r="393" spans="1:18" x14ac:dyDescent="0.25">
      <c r="A393" s="24">
        <v>89</v>
      </c>
      <c r="B393" s="25" t="s">
        <v>89</v>
      </c>
      <c r="C393" s="24" t="s">
        <v>339</v>
      </c>
      <c r="D393" s="24" t="s">
        <v>36</v>
      </c>
      <c r="E393" s="24" t="s">
        <v>26</v>
      </c>
      <c r="F393" s="24"/>
      <c r="G393" s="13"/>
      <c r="H393" s="24">
        <v>3</v>
      </c>
      <c r="I393" s="66">
        <f t="shared" si="36"/>
        <v>3</v>
      </c>
      <c r="J393" s="15">
        <f t="shared" si="37"/>
        <v>1536.8964000000001</v>
      </c>
      <c r="K393" s="15">
        <f t="shared" si="38"/>
        <v>4610.6892000000007</v>
      </c>
      <c r="L393" s="24">
        <v>52165</v>
      </c>
      <c r="M393" s="103"/>
      <c r="N393" s="13">
        <v>8.7100000000000009</v>
      </c>
      <c r="O393" s="13">
        <v>9.75</v>
      </c>
      <c r="P393" s="13">
        <v>8.02</v>
      </c>
      <c r="Q393" s="16">
        <v>157.63040000000001</v>
      </c>
      <c r="R393" s="13"/>
    </row>
    <row r="394" spans="1:18" x14ac:dyDescent="0.25">
      <c r="A394" s="24">
        <v>90</v>
      </c>
      <c r="B394" s="25" t="s">
        <v>89</v>
      </c>
      <c r="C394" s="24" t="s">
        <v>340</v>
      </c>
      <c r="D394" s="24" t="s">
        <v>36</v>
      </c>
      <c r="E394" s="24" t="s">
        <v>26</v>
      </c>
      <c r="F394" s="24"/>
      <c r="G394" s="13"/>
      <c r="H394" s="24">
        <v>2</v>
      </c>
      <c r="I394" s="66">
        <f t="shared" si="36"/>
        <v>2</v>
      </c>
      <c r="J394" s="15">
        <f t="shared" si="37"/>
        <v>1536.8964000000001</v>
      </c>
      <c r="K394" s="15">
        <f t="shared" si="38"/>
        <v>3073.7928000000002</v>
      </c>
      <c r="L394" s="24">
        <v>52165</v>
      </c>
      <c r="M394" s="103"/>
      <c r="N394" s="13">
        <v>8.7100000000000009</v>
      </c>
      <c r="O394" s="13">
        <v>9.75</v>
      </c>
      <c r="P394" s="13">
        <v>8.02</v>
      </c>
      <c r="Q394" s="16">
        <v>157.63040000000001</v>
      </c>
      <c r="R394" s="13"/>
    </row>
    <row r="395" spans="1:18" x14ac:dyDescent="0.25">
      <c r="A395" s="24">
        <v>91</v>
      </c>
      <c r="B395" s="25" t="s">
        <v>89</v>
      </c>
      <c r="C395" s="24" t="s">
        <v>341</v>
      </c>
      <c r="D395" s="24" t="s">
        <v>31</v>
      </c>
      <c r="E395" s="24" t="s">
        <v>26</v>
      </c>
      <c r="F395" s="24"/>
      <c r="G395" s="13"/>
      <c r="H395" s="24">
        <v>3</v>
      </c>
      <c r="I395" s="66">
        <f t="shared" si="36"/>
        <v>3</v>
      </c>
      <c r="J395" s="15">
        <f t="shared" si="37"/>
        <v>1536.8964000000001</v>
      </c>
      <c r="K395" s="15">
        <f t="shared" si="38"/>
        <v>4610.6892000000007</v>
      </c>
      <c r="L395" s="24">
        <v>52166</v>
      </c>
      <c r="M395" s="103"/>
      <c r="N395" s="13">
        <v>8.7100000000000009</v>
      </c>
      <c r="O395" s="13">
        <v>9.75</v>
      </c>
      <c r="P395" s="13">
        <v>8.02</v>
      </c>
      <c r="Q395" s="16">
        <v>157.63040000000001</v>
      </c>
      <c r="R395" s="13"/>
    </row>
    <row r="396" spans="1:18" x14ac:dyDescent="0.25">
      <c r="A396" s="24">
        <v>92</v>
      </c>
      <c r="B396" s="25" t="s">
        <v>89</v>
      </c>
      <c r="C396" s="24" t="s">
        <v>341</v>
      </c>
      <c r="D396" s="24" t="s">
        <v>36</v>
      </c>
      <c r="E396" s="24" t="s">
        <v>26</v>
      </c>
      <c r="F396" s="24"/>
      <c r="G396" s="13"/>
      <c r="H396" s="24">
        <v>5</v>
      </c>
      <c r="I396" s="66">
        <f t="shared" si="36"/>
        <v>5</v>
      </c>
      <c r="J396" s="15">
        <f t="shared" si="37"/>
        <v>1536.8964000000001</v>
      </c>
      <c r="K396" s="15">
        <f t="shared" si="38"/>
        <v>7684.482</v>
      </c>
      <c r="L396" s="24">
        <v>52166</v>
      </c>
      <c r="M396" s="103"/>
      <c r="N396" s="13">
        <v>8.7100000000000009</v>
      </c>
      <c r="O396" s="13">
        <v>9.75</v>
      </c>
      <c r="P396" s="13">
        <v>8.02</v>
      </c>
      <c r="Q396" s="16">
        <v>157.63040000000001</v>
      </c>
      <c r="R396" s="13"/>
    </row>
    <row r="397" spans="1:18" x14ac:dyDescent="0.25">
      <c r="A397" s="24">
        <v>93</v>
      </c>
      <c r="B397" s="25" t="s">
        <v>89</v>
      </c>
      <c r="C397" s="24" t="s">
        <v>43</v>
      </c>
      <c r="D397" s="24" t="s">
        <v>31</v>
      </c>
      <c r="E397" s="24" t="s">
        <v>26</v>
      </c>
      <c r="F397" s="24"/>
      <c r="G397" s="13"/>
      <c r="H397" s="24">
        <v>6</v>
      </c>
      <c r="I397" s="66">
        <f t="shared" si="36"/>
        <v>6</v>
      </c>
      <c r="J397" s="15">
        <f t="shared" si="37"/>
        <v>1536.8964000000001</v>
      </c>
      <c r="K397" s="15">
        <f t="shared" si="38"/>
        <v>9221.3784000000014</v>
      </c>
      <c r="L397" s="24">
        <v>52166</v>
      </c>
      <c r="M397" s="103"/>
      <c r="N397" s="13">
        <v>8.7100000000000009</v>
      </c>
      <c r="O397" s="13">
        <v>9.75</v>
      </c>
      <c r="P397" s="13">
        <v>8.02</v>
      </c>
      <c r="Q397" s="16">
        <v>157.63040000000001</v>
      </c>
      <c r="R397" s="13"/>
    </row>
    <row r="398" spans="1:18" x14ac:dyDescent="0.25">
      <c r="A398" s="24">
        <v>94</v>
      </c>
      <c r="B398" s="25" t="s">
        <v>89</v>
      </c>
      <c r="C398" s="24" t="s">
        <v>342</v>
      </c>
      <c r="D398" s="24" t="s">
        <v>36</v>
      </c>
      <c r="E398" s="24" t="s">
        <v>26</v>
      </c>
      <c r="F398" s="24"/>
      <c r="G398" s="13"/>
      <c r="H398" s="24">
        <v>2</v>
      </c>
      <c r="I398" s="66">
        <f t="shared" si="36"/>
        <v>2</v>
      </c>
      <c r="J398" s="15">
        <f t="shared" si="37"/>
        <v>1536.8964000000001</v>
      </c>
      <c r="K398" s="15">
        <f t="shared" si="38"/>
        <v>3073.7928000000002</v>
      </c>
      <c r="L398" s="24">
        <v>52166</v>
      </c>
      <c r="M398" s="103"/>
      <c r="N398" s="13">
        <v>8.7100000000000009</v>
      </c>
      <c r="O398" s="13">
        <v>9.75</v>
      </c>
      <c r="P398" s="13">
        <v>8.02</v>
      </c>
      <c r="Q398" s="16">
        <v>157.63040000000001</v>
      </c>
      <c r="R398" s="13"/>
    </row>
    <row r="399" spans="1:18" x14ac:dyDescent="0.25">
      <c r="A399" s="24">
        <v>95</v>
      </c>
      <c r="B399" s="25" t="s">
        <v>89</v>
      </c>
      <c r="C399" s="24" t="s">
        <v>343</v>
      </c>
      <c r="D399" s="24" t="s">
        <v>31</v>
      </c>
      <c r="E399" s="24" t="s">
        <v>26</v>
      </c>
      <c r="F399" s="24"/>
      <c r="G399" s="13"/>
      <c r="H399" s="24">
        <v>2</v>
      </c>
      <c r="I399" s="66">
        <f t="shared" si="36"/>
        <v>2</v>
      </c>
      <c r="J399" s="15">
        <f t="shared" si="37"/>
        <v>1536.8964000000001</v>
      </c>
      <c r="K399" s="15">
        <f t="shared" si="38"/>
        <v>3073.7928000000002</v>
      </c>
      <c r="L399" s="24">
        <v>52166</v>
      </c>
      <c r="M399" s="103"/>
      <c r="N399" s="13">
        <v>8.7100000000000009</v>
      </c>
      <c r="O399" s="13">
        <v>9.75</v>
      </c>
      <c r="P399" s="13">
        <v>8.02</v>
      </c>
      <c r="Q399" s="16">
        <v>157.63040000000001</v>
      </c>
      <c r="R399" s="13"/>
    </row>
    <row r="400" spans="1:18" x14ac:dyDescent="0.25">
      <c r="A400" s="24">
        <v>96</v>
      </c>
      <c r="B400" s="25" t="s">
        <v>89</v>
      </c>
      <c r="C400" s="24" t="s">
        <v>344</v>
      </c>
      <c r="D400" s="24" t="s">
        <v>36</v>
      </c>
      <c r="E400" s="24" t="s">
        <v>26</v>
      </c>
      <c r="F400" s="24"/>
      <c r="G400" s="13"/>
      <c r="H400" s="24">
        <v>2</v>
      </c>
      <c r="I400" s="66">
        <f t="shared" si="36"/>
        <v>2</v>
      </c>
      <c r="J400" s="15">
        <f t="shared" si="37"/>
        <v>1536.8964000000001</v>
      </c>
      <c r="K400" s="15">
        <f t="shared" si="38"/>
        <v>3073.7928000000002</v>
      </c>
      <c r="L400" s="24">
        <v>52166</v>
      </c>
      <c r="M400" s="103"/>
      <c r="N400" s="13">
        <v>8.7100000000000009</v>
      </c>
      <c r="O400" s="13">
        <v>9.75</v>
      </c>
      <c r="P400" s="13">
        <v>8.02</v>
      </c>
      <c r="Q400" s="16">
        <v>157.63040000000001</v>
      </c>
      <c r="R400" s="13"/>
    </row>
    <row r="401" spans="1:18" x14ac:dyDescent="0.25">
      <c r="A401" s="24">
        <v>97</v>
      </c>
      <c r="B401" s="25" t="s">
        <v>89</v>
      </c>
      <c r="C401" s="24" t="s">
        <v>38</v>
      </c>
      <c r="D401" s="24" t="s">
        <v>36</v>
      </c>
      <c r="E401" s="24" t="s">
        <v>26</v>
      </c>
      <c r="F401" s="24"/>
      <c r="G401" s="13"/>
      <c r="H401" s="24">
        <v>14</v>
      </c>
      <c r="I401" s="66">
        <f t="shared" si="36"/>
        <v>14</v>
      </c>
      <c r="J401" s="15">
        <f t="shared" si="37"/>
        <v>1536.8964000000001</v>
      </c>
      <c r="K401" s="15">
        <f t="shared" si="38"/>
        <v>21516.549600000002</v>
      </c>
      <c r="L401" s="24">
        <v>52166</v>
      </c>
      <c r="M401" s="103"/>
      <c r="N401" s="13">
        <v>8.7100000000000009</v>
      </c>
      <c r="O401" s="13">
        <v>9.75</v>
      </c>
      <c r="P401" s="13">
        <v>8.02</v>
      </c>
      <c r="Q401" s="16">
        <v>157.63040000000001</v>
      </c>
      <c r="R401" s="13"/>
    </row>
    <row r="402" spans="1:18" x14ac:dyDescent="0.25">
      <c r="A402" s="24">
        <v>98</v>
      </c>
      <c r="B402" s="25" t="s">
        <v>89</v>
      </c>
      <c r="C402" s="24" t="s">
        <v>345</v>
      </c>
      <c r="D402" s="24" t="s">
        <v>36</v>
      </c>
      <c r="E402" s="24" t="s">
        <v>26</v>
      </c>
      <c r="F402" s="24"/>
      <c r="G402" s="13"/>
      <c r="H402" s="24">
        <v>4</v>
      </c>
      <c r="I402" s="66">
        <f t="shared" si="36"/>
        <v>4</v>
      </c>
      <c r="J402" s="15">
        <f t="shared" si="37"/>
        <v>1536.8964000000001</v>
      </c>
      <c r="K402" s="15">
        <f t="shared" si="38"/>
        <v>6147.5856000000003</v>
      </c>
      <c r="L402" s="24">
        <v>52166</v>
      </c>
      <c r="M402" s="103"/>
      <c r="N402" s="13">
        <v>8.7100000000000009</v>
      </c>
      <c r="O402" s="13">
        <v>9.75</v>
      </c>
      <c r="P402" s="13">
        <v>8.02</v>
      </c>
      <c r="Q402" s="16">
        <v>157.63040000000001</v>
      </c>
      <c r="R402" s="13"/>
    </row>
    <row r="403" spans="1:18" x14ac:dyDescent="0.25">
      <c r="A403" s="24">
        <v>99</v>
      </c>
      <c r="B403" s="25" t="s">
        <v>89</v>
      </c>
      <c r="C403" s="24" t="s">
        <v>346</v>
      </c>
      <c r="D403" s="24" t="s">
        <v>36</v>
      </c>
      <c r="E403" s="24" t="s">
        <v>26</v>
      </c>
      <c r="F403" s="24"/>
      <c r="G403" s="13"/>
      <c r="H403" s="24">
        <v>3</v>
      </c>
      <c r="I403" s="66">
        <f t="shared" si="36"/>
        <v>3</v>
      </c>
      <c r="J403" s="15">
        <f t="shared" si="37"/>
        <v>1536.8964000000001</v>
      </c>
      <c r="K403" s="15">
        <f t="shared" si="38"/>
        <v>4610.6892000000007</v>
      </c>
      <c r="L403" s="24">
        <v>52166</v>
      </c>
      <c r="M403" s="103"/>
      <c r="N403" s="13">
        <v>8.7100000000000009</v>
      </c>
      <c r="O403" s="13">
        <v>9.75</v>
      </c>
      <c r="P403" s="13">
        <v>8.02</v>
      </c>
      <c r="Q403" s="16">
        <v>157.63040000000001</v>
      </c>
      <c r="R403" s="13"/>
    </row>
    <row r="404" spans="1:18" x14ac:dyDescent="0.25">
      <c r="A404" s="24">
        <v>100</v>
      </c>
      <c r="B404" s="25" t="s">
        <v>89</v>
      </c>
      <c r="C404" s="31">
        <v>1978</v>
      </c>
      <c r="D404" s="24" t="s">
        <v>36</v>
      </c>
      <c r="E404" s="24" t="s">
        <v>26</v>
      </c>
      <c r="F404" s="24"/>
      <c r="G404" s="13"/>
      <c r="H404" s="24">
        <v>3</v>
      </c>
      <c r="I404" s="66">
        <f t="shared" si="36"/>
        <v>3</v>
      </c>
      <c r="J404" s="15">
        <f t="shared" si="37"/>
        <v>1536.8964000000001</v>
      </c>
      <c r="K404" s="15">
        <f t="shared" si="38"/>
        <v>4610.6892000000007</v>
      </c>
      <c r="L404" s="24">
        <v>52166</v>
      </c>
      <c r="M404" s="103"/>
      <c r="N404" s="13">
        <v>8.7100000000000009</v>
      </c>
      <c r="O404" s="13">
        <v>9.75</v>
      </c>
      <c r="P404" s="13">
        <v>8.02</v>
      </c>
      <c r="Q404" s="16">
        <v>157.63040000000001</v>
      </c>
      <c r="R404" s="13"/>
    </row>
    <row r="405" spans="1:18" x14ac:dyDescent="0.25">
      <c r="A405" s="24">
        <v>101</v>
      </c>
      <c r="B405" s="25" t="s">
        <v>89</v>
      </c>
      <c r="C405" s="24" t="s">
        <v>347</v>
      </c>
      <c r="D405" s="24" t="s">
        <v>36</v>
      </c>
      <c r="E405" s="24" t="s">
        <v>26</v>
      </c>
      <c r="F405" s="24"/>
      <c r="G405" s="13"/>
      <c r="H405" s="24">
        <v>4</v>
      </c>
      <c r="I405" s="66">
        <f t="shared" si="36"/>
        <v>4</v>
      </c>
      <c r="J405" s="15">
        <f t="shared" si="37"/>
        <v>1536.8964000000001</v>
      </c>
      <c r="K405" s="15">
        <f t="shared" si="38"/>
        <v>6147.5856000000003</v>
      </c>
      <c r="L405" s="24">
        <v>52166</v>
      </c>
      <c r="M405" s="103"/>
      <c r="N405" s="13">
        <v>8.7100000000000009</v>
      </c>
      <c r="O405" s="13">
        <v>9.75</v>
      </c>
      <c r="P405" s="13">
        <v>8.02</v>
      </c>
      <c r="Q405" s="16">
        <v>157.63040000000001</v>
      </c>
      <c r="R405" s="13"/>
    </row>
    <row r="406" spans="1:18" x14ac:dyDescent="0.25">
      <c r="A406" s="24">
        <v>102</v>
      </c>
      <c r="B406" s="25" t="s">
        <v>89</v>
      </c>
      <c r="C406" s="24" t="s">
        <v>348</v>
      </c>
      <c r="D406" s="24" t="s">
        <v>31</v>
      </c>
      <c r="E406" s="24" t="s">
        <v>26</v>
      </c>
      <c r="F406" s="24"/>
      <c r="G406" s="13"/>
      <c r="H406" s="24">
        <v>2</v>
      </c>
      <c r="I406" s="66">
        <f t="shared" si="36"/>
        <v>2</v>
      </c>
      <c r="J406" s="15">
        <f t="shared" si="37"/>
        <v>1536.8964000000001</v>
      </c>
      <c r="K406" s="15">
        <f t="shared" si="38"/>
        <v>3073.7928000000002</v>
      </c>
      <c r="L406" s="24">
        <v>52166</v>
      </c>
      <c r="M406" s="103"/>
      <c r="N406" s="13">
        <v>8.7100000000000009</v>
      </c>
      <c r="O406" s="13">
        <v>9.75</v>
      </c>
      <c r="P406" s="13">
        <v>8.02</v>
      </c>
      <c r="Q406" s="16">
        <v>157.63040000000001</v>
      </c>
      <c r="R406" s="13"/>
    </row>
    <row r="407" spans="1:18" x14ac:dyDescent="0.25">
      <c r="A407" s="24">
        <v>103</v>
      </c>
      <c r="B407" s="25" t="s">
        <v>89</v>
      </c>
      <c r="C407" s="24" t="s">
        <v>349</v>
      </c>
      <c r="D407" s="24" t="s">
        <v>36</v>
      </c>
      <c r="E407" s="24" t="s">
        <v>26</v>
      </c>
      <c r="F407" s="24"/>
      <c r="G407" s="13"/>
      <c r="H407" s="24">
        <v>2</v>
      </c>
      <c r="I407" s="66">
        <f t="shared" si="36"/>
        <v>2</v>
      </c>
      <c r="J407" s="15">
        <f t="shared" si="37"/>
        <v>1536.8964000000001</v>
      </c>
      <c r="K407" s="15">
        <f t="shared" si="38"/>
        <v>3073.7928000000002</v>
      </c>
      <c r="L407" s="24">
        <v>52166</v>
      </c>
      <c r="M407" s="103"/>
      <c r="N407" s="13">
        <v>8.7100000000000009</v>
      </c>
      <c r="O407" s="13">
        <v>9.75</v>
      </c>
      <c r="P407" s="13">
        <v>8.02</v>
      </c>
      <c r="Q407" s="16">
        <v>157.63040000000001</v>
      </c>
      <c r="R407" s="13"/>
    </row>
    <row r="408" spans="1:18" x14ac:dyDescent="0.25">
      <c r="A408" s="24">
        <v>104</v>
      </c>
      <c r="B408" s="25" t="s">
        <v>89</v>
      </c>
      <c r="C408" s="24" t="s">
        <v>350</v>
      </c>
      <c r="D408" s="24" t="s">
        <v>36</v>
      </c>
      <c r="E408" s="24" t="s">
        <v>26</v>
      </c>
      <c r="F408" s="24"/>
      <c r="G408" s="13"/>
      <c r="H408" s="24">
        <v>3</v>
      </c>
      <c r="I408" s="66">
        <f t="shared" si="36"/>
        <v>3</v>
      </c>
      <c r="J408" s="15">
        <f t="shared" si="37"/>
        <v>1536.8964000000001</v>
      </c>
      <c r="K408" s="15">
        <f t="shared" si="38"/>
        <v>4610.6892000000007</v>
      </c>
      <c r="L408" s="24">
        <v>52167</v>
      </c>
      <c r="M408" s="103"/>
      <c r="N408" s="13">
        <v>8.7100000000000009</v>
      </c>
      <c r="O408" s="13">
        <v>9.75</v>
      </c>
      <c r="P408" s="13">
        <v>8.02</v>
      </c>
      <c r="Q408" s="16">
        <v>157.63040000000001</v>
      </c>
      <c r="R408" s="13"/>
    </row>
    <row r="409" spans="1:18" x14ac:dyDescent="0.25">
      <c r="A409" s="24">
        <v>105</v>
      </c>
      <c r="B409" s="25" t="s">
        <v>89</v>
      </c>
      <c r="C409" s="24" t="s">
        <v>351</v>
      </c>
      <c r="D409" s="24" t="s">
        <v>36</v>
      </c>
      <c r="E409" s="24" t="s">
        <v>26</v>
      </c>
      <c r="F409" s="24"/>
      <c r="G409" s="13"/>
      <c r="H409" s="24">
        <v>2</v>
      </c>
      <c r="I409" s="66">
        <f t="shared" si="36"/>
        <v>2</v>
      </c>
      <c r="J409" s="15">
        <f t="shared" si="37"/>
        <v>1536.8964000000001</v>
      </c>
      <c r="K409" s="15">
        <f t="shared" si="38"/>
        <v>3073.7928000000002</v>
      </c>
      <c r="L409" s="24">
        <v>52167</v>
      </c>
      <c r="M409" s="103"/>
      <c r="N409" s="13">
        <v>8.7100000000000009</v>
      </c>
      <c r="O409" s="13">
        <v>9.75</v>
      </c>
      <c r="P409" s="13">
        <v>8.02</v>
      </c>
      <c r="Q409" s="16">
        <v>157.63040000000001</v>
      </c>
      <c r="R409" s="13"/>
    </row>
    <row r="410" spans="1:18" x14ac:dyDescent="0.25">
      <c r="A410" s="24">
        <v>106</v>
      </c>
      <c r="B410" s="25" t="s">
        <v>89</v>
      </c>
      <c r="C410" s="24" t="s">
        <v>352</v>
      </c>
      <c r="D410" s="24" t="s">
        <v>36</v>
      </c>
      <c r="E410" s="24" t="s">
        <v>26</v>
      </c>
      <c r="F410" s="24"/>
      <c r="G410" s="13"/>
      <c r="H410" s="24">
        <v>2</v>
      </c>
      <c r="I410" s="66">
        <f t="shared" si="36"/>
        <v>2</v>
      </c>
      <c r="J410" s="15">
        <f t="shared" si="37"/>
        <v>1536.8964000000001</v>
      </c>
      <c r="K410" s="15">
        <f t="shared" si="38"/>
        <v>3073.7928000000002</v>
      </c>
      <c r="L410" s="24">
        <v>52167</v>
      </c>
      <c r="M410" s="103"/>
      <c r="N410" s="13">
        <v>8.7100000000000009</v>
      </c>
      <c r="O410" s="13">
        <v>9.75</v>
      </c>
      <c r="P410" s="13">
        <v>8.02</v>
      </c>
      <c r="Q410" s="16">
        <v>157.63040000000001</v>
      </c>
      <c r="R410" s="13"/>
    </row>
    <row r="411" spans="1:18" x14ac:dyDescent="0.25">
      <c r="A411" s="24">
        <v>107</v>
      </c>
      <c r="B411" s="25" t="s">
        <v>89</v>
      </c>
      <c r="C411" s="24" t="s">
        <v>353</v>
      </c>
      <c r="D411" s="24" t="s">
        <v>31</v>
      </c>
      <c r="E411" s="24" t="s">
        <v>26</v>
      </c>
      <c r="F411" s="24"/>
      <c r="G411" s="13"/>
      <c r="H411" s="24">
        <v>1</v>
      </c>
      <c r="I411" s="66">
        <f t="shared" si="36"/>
        <v>1</v>
      </c>
      <c r="J411" s="15">
        <f t="shared" si="37"/>
        <v>1536.8964000000001</v>
      </c>
      <c r="K411" s="15">
        <f t="shared" si="38"/>
        <v>1536.8964000000001</v>
      </c>
      <c r="L411" s="24">
        <v>52167</v>
      </c>
      <c r="M411" s="103"/>
      <c r="N411" s="13">
        <v>8.7100000000000009</v>
      </c>
      <c r="O411" s="13">
        <v>9.75</v>
      </c>
      <c r="P411" s="13">
        <v>8.02</v>
      </c>
      <c r="Q411" s="16">
        <v>157.63040000000001</v>
      </c>
      <c r="R411" s="13"/>
    </row>
    <row r="412" spans="1:18" x14ac:dyDescent="0.25">
      <c r="A412" s="24">
        <v>108</v>
      </c>
      <c r="B412" s="25" t="s">
        <v>89</v>
      </c>
      <c r="C412" s="24" t="s">
        <v>354</v>
      </c>
      <c r="D412" s="24" t="s">
        <v>122</v>
      </c>
      <c r="E412" s="24" t="s">
        <v>26</v>
      </c>
      <c r="F412" s="24"/>
      <c r="G412" s="13"/>
      <c r="H412" s="24">
        <v>1</v>
      </c>
      <c r="I412" s="66">
        <f t="shared" si="36"/>
        <v>1</v>
      </c>
      <c r="J412" s="15">
        <f t="shared" si="37"/>
        <v>1536.8964000000001</v>
      </c>
      <c r="K412" s="15">
        <f t="shared" si="38"/>
        <v>1536.8964000000001</v>
      </c>
      <c r="L412" s="24">
        <v>52167</v>
      </c>
      <c r="M412" s="103"/>
      <c r="N412" s="13">
        <v>8.7100000000000009</v>
      </c>
      <c r="O412" s="13">
        <v>9.75</v>
      </c>
      <c r="P412" s="13">
        <v>8.02</v>
      </c>
      <c r="Q412" s="16">
        <v>157.63040000000001</v>
      </c>
      <c r="R412" s="13"/>
    </row>
    <row r="413" spans="1:18" x14ac:dyDescent="0.25">
      <c r="A413" s="24">
        <v>109</v>
      </c>
      <c r="B413" s="25" t="s">
        <v>89</v>
      </c>
      <c r="C413" s="24" t="s">
        <v>355</v>
      </c>
      <c r="D413" s="24" t="s">
        <v>36</v>
      </c>
      <c r="E413" s="24" t="s">
        <v>26</v>
      </c>
      <c r="F413" s="24"/>
      <c r="G413" s="13"/>
      <c r="H413" s="24">
        <v>1</v>
      </c>
      <c r="I413" s="66">
        <f t="shared" si="36"/>
        <v>1</v>
      </c>
      <c r="J413" s="15">
        <f t="shared" si="37"/>
        <v>1536.8964000000001</v>
      </c>
      <c r="K413" s="15">
        <f t="shared" si="38"/>
        <v>1536.8964000000001</v>
      </c>
      <c r="L413" s="24">
        <v>52167</v>
      </c>
      <c r="M413" s="103"/>
      <c r="N413" s="13">
        <v>8.7100000000000009</v>
      </c>
      <c r="O413" s="13">
        <v>9.75</v>
      </c>
      <c r="P413" s="13">
        <v>8.02</v>
      </c>
      <c r="Q413" s="16">
        <v>157.63040000000001</v>
      </c>
      <c r="R413" s="13"/>
    </row>
    <row r="414" spans="1:18" x14ac:dyDescent="0.25">
      <c r="A414" s="24">
        <v>110</v>
      </c>
      <c r="B414" s="25" t="s">
        <v>89</v>
      </c>
      <c r="C414" s="31">
        <v>1973</v>
      </c>
      <c r="D414" s="24" t="s">
        <v>31</v>
      </c>
      <c r="E414" s="24" t="s">
        <v>26</v>
      </c>
      <c r="F414" s="24"/>
      <c r="G414" s="13"/>
      <c r="H414" s="24">
        <v>1</v>
      </c>
      <c r="I414" s="66">
        <f t="shared" si="36"/>
        <v>1</v>
      </c>
      <c r="J414" s="15">
        <f t="shared" si="37"/>
        <v>1536.8964000000001</v>
      </c>
      <c r="K414" s="15">
        <f t="shared" si="38"/>
        <v>1536.8964000000001</v>
      </c>
      <c r="L414" s="24">
        <v>52167</v>
      </c>
      <c r="M414" s="103"/>
      <c r="N414" s="13">
        <v>8.7100000000000009</v>
      </c>
      <c r="O414" s="13">
        <v>9.75</v>
      </c>
      <c r="P414" s="13">
        <v>8.02</v>
      </c>
      <c r="Q414" s="16">
        <v>157.63040000000001</v>
      </c>
      <c r="R414" s="13"/>
    </row>
    <row r="415" spans="1:18" x14ac:dyDescent="0.25">
      <c r="A415" s="24">
        <v>111</v>
      </c>
      <c r="B415" s="25" t="s">
        <v>89</v>
      </c>
      <c r="C415" s="24" t="s">
        <v>123</v>
      </c>
      <c r="D415" s="24" t="s">
        <v>31</v>
      </c>
      <c r="E415" s="24" t="s">
        <v>26</v>
      </c>
      <c r="F415" s="24"/>
      <c r="G415" s="13"/>
      <c r="H415" s="24">
        <v>1</v>
      </c>
      <c r="I415" s="66">
        <f t="shared" si="36"/>
        <v>1</v>
      </c>
      <c r="J415" s="15">
        <f t="shared" si="37"/>
        <v>1536.8964000000001</v>
      </c>
      <c r="K415" s="15">
        <f t="shared" si="38"/>
        <v>1536.8964000000001</v>
      </c>
      <c r="L415" s="24">
        <v>52167</v>
      </c>
      <c r="M415" s="103"/>
      <c r="N415" s="13">
        <v>8.7100000000000009</v>
      </c>
      <c r="O415" s="13">
        <v>9.75</v>
      </c>
      <c r="P415" s="13">
        <v>8.02</v>
      </c>
      <c r="Q415" s="16">
        <v>157.63040000000001</v>
      </c>
      <c r="R415" s="13"/>
    </row>
    <row r="416" spans="1:18" x14ac:dyDescent="0.25">
      <c r="A416" s="24">
        <v>112</v>
      </c>
      <c r="B416" s="25" t="s">
        <v>89</v>
      </c>
      <c r="C416" s="24" t="s">
        <v>356</v>
      </c>
      <c r="D416" s="24" t="s">
        <v>36</v>
      </c>
      <c r="E416" s="24" t="s">
        <v>26</v>
      </c>
      <c r="F416" s="24"/>
      <c r="G416" s="13"/>
      <c r="H416" s="24">
        <v>1</v>
      </c>
      <c r="I416" s="66">
        <f t="shared" si="36"/>
        <v>1</v>
      </c>
      <c r="J416" s="15">
        <f t="shared" si="37"/>
        <v>1536.8964000000001</v>
      </c>
      <c r="K416" s="15">
        <f t="shared" si="38"/>
        <v>1536.8964000000001</v>
      </c>
      <c r="L416" s="24">
        <v>52167</v>
      </c>
      <c r="M416" s="103"/>
      <c r="N416" s="13">
        <v>8.7100000000000009</v>
      </c>
      <c r="O416" s="13">
        <v>9.75</v>
      </c>
      <c r="P416" s="13">
        <v>8.02</v>
      </c>
      <c r="Q416" s="16">
        <v>157.63040000000001</v>
      </c>
      <c r="R416" s="13"/>
    </row>
    <row r="417" spans="1:18" x14ac:dyDescent="0.25">
      <c r="A417" s="24">
        <v>113</v>
      </c>
      <c r="B417" s="25" t="s">
        <v>89</v>
      </c>
      <c r="C417" s="24" t="s">
        <v>357</v>
      </c>
      <c r="D417" s="24" t="s">
        <v>36</v>
      </c>
      <c r="E417" s="24" t="s">
        <v>26</v>
      </c>
      <c r="F417" s="24"/>
      <c r="G417" s="13"/>
      <c r="H417" s="24">
        <v>1</v>
      </c>
      <c r="I417" s="66">
        <f t="shared" si="36"/>
        <v>1</v>
      </c>
      <c r="J417" s="15">
        <f t="shared" si="37"/>
        <v>1536.8964000000001</v>
      </c>
      <c r="K417" s="15">
        <f t="shared" si="38"/>
        <v>1536.8964000000001</v>
      </c>
      <c r="L417" s="24">
        <v>52167</v>
      </c>
      <c r="M417" s="103"/>
      <c r="N417" s="13">
        <v>8.7100000000000009</v>
      </c>
      <c r="O417" s="13">
        <v>9.75</v>
      </c>
      <c r="P417" s="13">
        <v>8.02</v>
      </c>
      <c r="Q417" s="16">
        <v>157.63040000000001</v>
      </c>
      <c r="R417" s="13"/>
    </row>
    <row r="418" spans="1:18" x14ac:dyDescent="0.25">
      <c r="A418" s="24">
        <v>114</v>
      </c>
      <c r="B418" s="25" t="s">
        <v>89</v>
      </c>
      <c r="C418" s="24" t="s">
        <v>358</v>
      </c>
      <c r="D418" s="24" t="s">
        <v>31</v>
      </c>
      <c r="E418" s="24" t="s">
        <v>26</v>
      </c>
      <c r="F418" s="24"/>
      <c r="G418" s="13"/>
      <c r="H418" s="24">
        <v>1</v>
      </c>
      <c r="I418" s="66">
        <f t="shared" si="36"/>
        <v>1</v>
      </c>
      <c r="J418" s="15">
        <f t="shared" si="37"/>
        <v>1536.8964000000001</v>
      </c>
      <c r="K418" s="15">
        <f t="shared" si="38"/>
        <v>1536.8964000000001</v>
      </c>
      <c r="L418" s="24">
        <v>52167</v>
      </c>
      <c r="M418" s="103"/>
      <c r="N418" s="13">
        <v>8.7100000000000009</v>
      </c>
      <c r="O418" s="13">
        <v>9.75</v>
      </c>
      <c r="P418" s="13">
        <v>8.02</v>
      </c>
      <c r="Q418" s="16">
        <v>157.63040000000001</v>
      </c>
      <c r="R418" s="13"/>
    </row>
    <row r="419" spans="1:18" x14ac:dyDescent="0.25">
      <c r="A419" s="24">
        <v>115</v>
      </c>
      <c r="B419" s="25" t="s">
        <v>89</v>
      </c>
      <c r="C419" s="24" t="s">
        <v>359</v>
      </c>
      <c r="D419" s="24" t="s">
        <v>31</v>
      </c>
      <c r="E419" s="24" t="s">
        <v>26</v>
      </c>
      <c r="F419" s="24"/>
      <c r="G419" s="13"/>
      <c r="H419" s="24">
        <v>1</v>
      </c>
      <c r="I419" s="66">
        <f t="shared" si="36"/>
        <v>1</v>
      </c>
      <c r="J419" s="15">
        <f t="shared" si="37"/>
        <v>1536.8964000000001</v>
      </c>
      <c r="K419" s="15">
        <f t="shared" si="38"/>
        <v>1536.8964000000001</v>
      </c>
      <c r="L419" s="24">
        <v>52167</v>
      </c>
      <c r="M419" s="103"/>
      <c r="N419" s="13">
        <v>8.7100000000000009</v>
      </c>
      <c r="O419" s="13">
        <v>9.75</v>
      </c>
      <c r="P419" s="13">
        <v>8.02</v>
      </c>
      <c r="Q419" s="16">
        <v>157.63040000000001</v>
      </c>
      <c r="R419" s="13"/>
    </row>
    <row r="420" spans="1:18" x14ac:dyDescent="0.25">
      <c r="A420" s="24">
        <v>116</v>
      </c>
      <c r="B420" s="25" t="s">
        <v>89</v>
      </c>
      <c r="C420" s="24" t="s">
        <v>360</v>
      </c>
      <c r="D420" s="24" t="s">
        <v>36</v>
      </c>
      <c r="E420" s="24" t="s">
        <v>26</v>
      </c>
      <c r="F420" s="24"/>
      <c r="G420" s="13"/>
      <c r="H420" s="24">
        <v>1</v>
      </c>
      <c r="I420" s="66">
        <f t="shared" si="36"/>
        <v>1</v>
      </c>
      <c r="J420" s="15">
        <f t="shared" si="37"/>
        <v>1536.8964000000001</v>
      </c>
      <c r="K420" s="15">
        <f t="shared" si="38"/>
        <v>1536.8964000000001</v>
      </c>
      <c r="L420" s="24">
        <v>52167</v>
      </c>
      <c r="M420" s="103"/>
      <c r="N420" s="13">
        <v>8.7100000000000009</v>
      </c>
      <c r="O420" s="13">
        <v>9.75</v>
      </c>
      <c r="P420" s="13">
        <v>8.02</v>
      </c>
      <c r="Q420" s="16">
        <v>157.63040000000001</v>
      </c>
      <c r="R420" s="13"/>
    </row>
    <row r="421" spans="1:18" x14ac:dyDescent="0.25">
      <c r="A421" s="24">
        <v>117</v>
      </c>
      <c r="B421" s="25" t="s">
        <v>89</v>
      </c>
      <c r="C421" s="24" t="s">
        <v>361</v>
      </c>
      <c r="D421" s="24" t="s">
        <v>36</v>
      </c>
      <c r="E421" s="24" t="s">
        <v>26</v>
      </c>
      <c r="F421" s="24"/>
      <c r="G421" s="13"/>
      <c r="H421" s="24">
        <v>2</v>
      </c>
      <c r="I421" s="66">
        <f t="shared" si="36"/>
        <v>2</v>
      </c>
      <c r="J421" s="15">
        <f t="shared" si="37"/>
        <v>1536.8964000000001</v>
      </c>
      <c r="K421" s="15">
        <f t="shared" si="38"/>
        <v>3073.7928000000002</v>
      </c>
      <c r="L421" s="24">
        <v>52168</v>
      </c>
      <c r="M421" s="103"/>
      <c r="N421" s="13">
        <v>8.7100000000000009</v>
      </c>
      <c r="O421" s="13">
        <v>9.75</v>
      </c>
      <c r="P421" s="13">
        <v>8.02</v>
      </c>
      <c r="Q421" s="16">
        <v>157.63040000000001</v>
      </c>
      <c r="R421" s="13"/>
    </row>
    <row r="422" spans="1:18" x14ac:dyDescent="0.25">
      <c r="A422" s="24">
        <v>118</v>
      </c>
      <c r="B422" s="25" t="s">
        <v>89</v>
      </c>
      <c r="C422" s="24" t="s">
        <v>362</v>
      </c>
      <c r="D422" s="24" t="s">
        <v>36</v>
      </c>
      <c r="E422" s="24" t="s">
        <v>26</v>
      </c>
      <c r="F422" s="24"/>
      <c r="G422" s="13"/>
      <c r="H422" s="24">
        <v>2</v>
      </c>
      <c r="I422" s="66">
        <f t="shared" si="36"/>
        <v>2</v>
      </c>
      <c r="J422" s="15">
        <f t="shared" si="37"/>
        <v>1536.8964000000001</v>
      </c>
      <c r="K422" s="15">
        <f t="shared" si="38"/>
        <v>3073.7928000000002</v>
      </c>
      <c r="L422" s="24">
        <v>52168</v>
      </c>
      <c r="M422" s="103"/>
      <c r="N422" s="13">
        <v>8.7100000000000009</v>
      </c>
      <c r="O422" s="13">
        <v>9.75</v>
      </c>
      <c r="P422" s="13">
        <v>8.02</v>
      </c>
      <c r="Q422" s="16">
        <v>157.63040000000001</v>
      </c>
      <c r="R422" s="13"/>
    </row>
    <row r="423" spans="1:18" x14ac:dyDescent="0.25">
      <c r="A423" s="24">
        <v>119</v>
      </c>
      <c r="B423" s="25" t="s">
        <v>89</v>
      </c>
      <c r="C423" s="24" t="s">
        <v>363</v>
      </c>
      <c r="D423" s="24" t="s">
        <v>36</v>
      </c>
      <c r="E423" s="24" t="s">
        <v>26</v>
      </c>
      <c r="F423" s="24"/>
      <c r="G423" s="13"/>
      <c r="H423" s="24">
        <v>1</v>
      </c>
      <c r="I423" s="66">
        <f t="shared" si="36"/>
        <v>1</v>
      </c>
      <c r="J423" s="15">
        <f t="shared" si="37"/>
        <v>1536.8964000000001</v>
      </c>
      <c r="K423" s="15">
        <f t="shared" si="38"/>
        <v>1536.8964000000001</v>
      </c>
      <c r="L423" s="24">
        <v>52168</v>
      </c>
      <c r="M423" s="103"/>
      <c r="N423" s="13">
        <v>8.7100000000000009</v>
      </c>
      <c r="O423" s="13">
        <v>9.75</v>
      </c>
      <c r="P423" s="13">
        <v>8.02</v>
      </c>
      <c r="Q423" s="16">
        <v>157.63040000000001</v>
      </c>
      <c r="R423" s="13"/>
    </row>
    <row r="424" spans="1:18" x14ac:dyDescent="0.25">
      <c r="A424" s="24">
        <v>120</v>
      </c>
      <c r="B424" s="25" t="s">
        <v>89</v>
      </c>
      <c r="C424" s="24" t="s">
        <v>364</v>
      </c>
      <c r="D424" s="24" t="s">
        <v>36</v>
      </c>
      <c r="E424" s="24" t="s">
        <v>26</v>
      </c>
      <c r="F424" s="24"/>
      <c r="G424" s="13"/>
      <c r="H424" s="24">
        <v>1</v>
      </c>
      <c r="I424" s="66">
        <f t="shared" si="36"/>
        <v>1</v>
      </c>
      <c r="J424" s="15">
        <f t="shared" si="37"/>
        <v>1536.8964000000001</v>
      </c>
      <c r="K424" s="15">
        <f t="shared" si="38"/>
        <v>1536.8964000000001</v>
      </c>
      <c r="L424" s="24">
        <v>52168</v>
      </c>
      <c r="M424" s="103"/>
      <c r="N424" s="13">
        <v>8.7100000000000009</v>
      </c>
      <c r="O424" s="13">
        <v>9.75</v>
      </c>
      <c r="P424" s="13">
        <v>8.02</v>
      </c>
      <c r="Q424" s="16">
        <v>157.63040000000001</v>
      </c>
      <c r="R424" s="13"/>
    </row>
    <row r="425" spans="1:18" x14ac:dyDescent="0.25">
      <c r="A425" s="24">
        <v>121</v>
      </c>
      <c r="B425" s="25" t="s">
        <v>89</v>
      </c>
      <c r="C425" s="24" t="s">
        <v>42</v>
      </c>
      <c r="D425" s="24" t="s">
        <v>36</v>
      </c>
      <c r="E425" s="24" t="s">
        <v>26</v>
      </c>
      <c r="F425" s="24"/>
      <c r="G425" s="13"/>
      <c r="H425" s="24">
        <v>1</v>
      </c>
      <c r="I425" s="66">
        <f t="shared" si="36"/>
        <v>1</v>
      </c>
      <c r="J425" s="15">
        <f t="shared" si="37"/>
        <v>1536.8964000000001</v>
      </c>
      <c r="K425" s="15">
        <f t="shared" si="38"/>
        <v>1536.8964000000001</v>
      </c>
      <c r="L425" s="24">
        <v>52168</v>
      </c>
      <c r="M425" s="103"/>
      <c r="N425" s="13">
        <v>8.7100000000000009</v>
      </c>
      <c r="O425" s="13">
        <v>9.75</v>
      </c>
      <c r="P425" s="13">
        <v>8.02</v>
      </c>
      <c r="Q425" s="16">
        <v>157.63040000000001</v>
      </c>
      <c r="R425" s="13"/>
    </row>
    <row r="426" spans="1:18" x14ac:dyDescent="0.25">
      <c r="A426" s="24">
        <v>122</v>
      </c>
      <c r="B426" s="25" t="s">
        <v>89</v>
      </c>
      <c r="C426" s="24" t="s">
        <v>365</v>
      </c>
      <c r="D426" s="24" t="s">
        <v>36</v>
      </c>
      <c r="E426" s="24" t="s">
        <v>26</v>
      </c>
      <c r="F426" s="24"/>
      <c r="G426" s="13"/>
      <c r="H426" s="24">
        <v>1</v>
      </c>
      <c r="I426" s="66">
        <f t="shared" si="36"/>
        <v>1</v>
      </c>
      <c r="J426" s="15">
        <f t="shared" si="37"/>
        <v>1536.8964000000001</v>
      </c>
      <c r="K426" s="15">
        <f t="shared" si="38"/>
        <v>1536.8964000000001</v>
      </c>
      <c r="L426" s="24">
        <v>52168</v>
      </c>
      <c r="M426" s="103"/>
      <c r="N426" s="13">
        <v>8.7100000000000009</v>
      </c>
      <c r="O426" s="13">
        <v>9.75</v>
      </c>
      <c r="P426" s="13">
        <v>8.02</v>
      </c>
      <c r="Q426" s="16">
        <v>157.63040000000001</v>
      </c>
      <c r="R426" s="13"/>
    </row>
    <row r="427" spans="1:18" x14ac:dyDescent="0.25">
      <c r="A427" s="24">
        <v>123</v>
      </c>
      <c r="B427" s="25" t="s">
        <v>89</v>
      </c>
      <c r="C427" s="24" t="s">
        <v>366</v>
      </c>
      <c r="D427" s="24" t="s">
        <v>36</v>
      </c>
      <c r="E427" s="24" t="s">
        <v>26</v>
      </c>
      <c r="F427" s="24"/>
      <c r="G427" s="13"/>
      <c r="H427" s="24">
        <v>1</v>
      </c>
      <c r="I427" s="66">
        <f t="shared" si="36"/>
        <v>1</v>
      </c>
      <c r="J427" s="15">
        <f t="shared" si="37"/>
        <v>1536.8964000000001</v>
      </c>
      <c r="K427" s="15">
        <f t="shared" si="38"/>
        <v>1536.8964000000001</v>
      </c>
      <c r="L427" s="24">
        <v>52168</v>
      </c>
      <c r="M427" s="103"/>
      <c r="N427" s="13">
        <v>8.7100000000000009</v>
      </c>
      <c r="O427" s="13">
        <v>9.75</v>
      </c>
      <c r="P427" s="13">
        <v>8.02</v>
      </c>
      <c r="Q427" s="16">
        <v>157.63040000000001</v>
      </c>
      <c r="R427" s="13"/>
    </row>
    <row r="428" spans="1:18" x14ac:dyDescent="0.25">
      <c r="A428" s="24">
        <v>124</v>
      </c>
      <c r="B428" s="25" t="s">
        <v>89</v>
      </c>
      <c r="C428" s="24" t="s">
        <v>367</v>
      </c>
      <c r="D428" s="24" t="s">
        <v>36</v>
      </c>
      <c r="E428" s="24" t="s">
        <v>26</v>
      </c>
      <c r="F428" s="24"/>
      <c r="G428" s="13"/>
      <c r="H428" s="24">
        <v>1</v>
      </c>
      <c r="I428" s="66">
        <f t="shared" si="36"/>
        <v>1</v>
      </c>
      <c r="J428" s="15">
        <f t="shared" si="37"/>
        <v>1536.8964000000001</v>
      </c>
      <c r="K428" s="15">
        <f t="shared" si="38"/>
        <v>1536.8964000000001</v>
      </c>
      <c r="L428" s="24">
        <v>52168</v>
      </c>
      <c r="M428" s="103" t="s">
        <v>702</v>
      </c>
      <c r="N428" s="13">
        <v>8.7100000000000009</v>
      </c>
      <c r="O428" s="13">
        <v>9.75</v>
      </c>
      <c r="P428" s="13">
        <v>8.02</v>
      </c>
      <c r="Q428" s="16">
        <v>157.63040000000001</v>
      </c>
      <c r="R428" s="13"/>
    </row>
    <row r="429" spans="1:18" x14ac:dyDescent="0.25">
      <c r="A429" s="24">
        <v>125</v>
      </c>
      <c r="B429" s="25" t="s">
        <v>89</v>
      </c>
      <c r="C429" s="24" t="s">
        <v>368</v>
      </c>
      <c r="D429" s="24" t="s">
        <v>36</v>
      </c>
      <c r="E429" s="24" t="s">
        <v>26</v>
      </c>
      <c r="F429" s="24"/>
      <c r="G429" s="13"/>
      <c r="H429" s="24">
        <v>1</v>
      </c>
      <c r="I429" s="66">
        <f t="shared" si="36"/>
        <v>1</v>
      </c>
      <c r="J429" s="15">
        <f t="shared" si="37"/>
        <v>1536.8964000000001</v>
      </c>
      <c r="K429" s="15">
        <f t="shared" si="38"/>
        <v>1536.8964000000001</v>
      </c>
      <c r="L429" s="24">
        <v>52168</v>
      </c>
      <c r="M429" s="103"/>
      <c r="N429" s="13">
        <v>8.7100000000000009</v>
      </c>
      <c r="O429" s="13">
        <v>9.75</v>
      </c>
      <c r="P429" s="13">
        <v>8.02</v>
      </c>
      <c r="Q429" s="16">
        <v>157.63040000000001</v>
      </c>
      <c r="R429" s="13"/>
    </row>
    <row r="430" spans="1:18" x14ac:dyDescent="0.25">
      <c r="A430" s="24">
        <v>126</v>
      </c>
      <c r="B430" s="25" t="s">
        <v>89</v>
      </c>
      <c r="C430" s="24" t="s">
        <v>369</v>
      </c>
      <c r="D430" s="24" t="s">
        <v>31</v>
      </c>
      <c r="E430" s="24" t="s">
        <v>26</v>
      </c>
      <c r="F430" s="24"/>
      <c r="G430" s="13"/>
      <c r="H430" s="24">
        <v>2</v>
      </c>
      <c r="I430" s="66">
        <f t="shared" si="36"/>
        <v>2</v>
      </c>
      <c r="J430" s="15">
        <f t="shared" si="37"/>
        <v>1536.8964000000001</v>
      </c>
      <c r="K430" s="15">
        <f t="shared" si="38"/>
        <v>3073.7928000000002</v>
      </c>
      <c r="L430" s="24">
        <v>52168</v>
      </c>
      <c r="M430" s="103"/>
      <c r="N430" s="13">
        <v>8.7100000000000009</v>
      </c>
      <c r="O430" s="13">
        <v>9.75</v>
      </c>
      <c r="P430" s="13">
        <v>8.02</v>
      </c>
      <c r="Q430" s="16">
        <v>157.63040000000001</v>
      </c>
      <c r="R430" s="13"/>
    </row>
    <row r="431" spans="1:18" x14ac:dyDescent="0.25">
      <c r="A431" s="24">
        <v>127</v>
      </c>
      <c r="B431" s="25" t="s">
        <v>89</v>
      </c>
      <c r="C431" s="24" t="s">
        <v>126</v>
      </c>
      <c r="D431" s="24" t="s">
        <v>36</v>
      </c>
      <c r="E431" s="24" t="s">
        <v>26</v>
      </c>
      <c r="F431" s="24"/>
      <c r="G431" s="13"/>
      <c r="H431" s="24">
        <v>1</v>
      </c>
      <c r="I431" s="66">
        <f t="shared" si="36"/>
        <v>1</v>
      </c>
      <c r="J431" s="15">
        <f t="shared" si="37"/>
        <v>1536.8964000000001</v>
      </c>
      <c r="K431" s="15">
        <f t="shared" si="38"/>
        <v>1536.8964000000001</v>
      </c>
      <c r="L431" s="24">
        <v>52168</v>
      </c>
      <c r="M431" s="103"/>
      <c r="N431" s="13">
        <v>8.7100000000000009</v>
      </c>
      <c r="O431" s="13">
        <v>9.75</v>
      </c>
      <c r="P431" s="13">
        <v>8.02</v>
      </c>
      <c r="Q431" s="16">
        <v>157.63040000000001</v>
      </c>
      <c r="R431" s="13"/>
    </row>
    <row r="432" spans="1:18" x14ac:dyDescent="0.25">
      <c r="A432" s="24">
        <v>128</v>
      </c>
      <c r="B432" s="25" t="s">
        <v>89</v>
      </c>
      <c r="C432" s="24" t="s">
        <v>370</v>
      </c>
      <c r="D432" s="24" t="s">
        <v>31</v>
      </c>
      <c r="E432" s="24" t="s">
        <v>26</v>
      </c>
      <c r="F432" s="24"/>
      <c r="G432" s="13"/>
      <c r="H432" s="24">
        <v>1</v>
      </c>
      <c r="I432" s="66">
        <f t="shared" si="36"/>
        <v>1</v>
      </c>
      <c r="J432" s="15">
        <f t="shared" si="37"/>
        <v>1536.8964000000001</v>
      </c>
      <c r="K432" s="15">
        <f t="shared" si="38"/>
        <v>1536.8964000000001</v>
      </c>
      <c r="L432" s="24">
        <v>52168</v>
      </c>
      <c r="M432" s="103"/>
      <c r="N432" s="13">
        <v>8.7100000000000009</v>
      </c>
      <c r="O432" s="13">
        <v>9.75</v>
      </c>
      <c r="P432" s="13">
        <v>8.02</v>
      </c>
      <c r="Q432" s="16">
        <v>157.63040000000001</v>
      </c>
      <c r="R432" s="13"/>
    </row>
    <row r="433" spans="1:18" x14ac:dyDescent="0.25">
      <c r="A433" s="24">
        <v>129</v>
      </c>
      <c r="B433" s="25" t="s">
        <v>89</v>
      </c>
      <c r="C433" s="24" t="s">
        <v>36</v>
      </c>
      <c r="D433" s="24" t="s">
        <v>31</v>
      </c>
      <c r="E433" s="24" t="s">
        <v>26</v>
      </c>
      <c r="F433" s="24"/>
      <c r="G433" s="13"/>
      <c r="H433" s="24">
        <v>15</v>
      </c>
      <c r="I433" s="66">
        <f t="shared" si="36"/>
        <v>15</v>
      </c>
      <c r="J433" s="15">
        <f t="shared" si="37"/>
        <v>1536.8964000000001</v>
      </c>
      <c r="K433" s="15">
        <f t="shared" si="38"/>
        <v>23053.446</v>
      </c>
      <c r="L433" s="24">
        <v>52168</v>
      </c>
      <c r="M433" s="103"/>
      <c r="N433" s="13">
        <v>8.7100000000000009</v>
      </c>
      <c r="O433" s="13">
        <v>9.75</v>
      </c>
      <c r="P433" s="13">
        <v>8.02</v>
      </c>
      <c r="Q433" s="16">
        <v>157.63040000000001</v>
      </c>
      <c r="R433" s="13"/>
    </row>
    <row r="434" spans="1:18" x14ac:dyDescent="0.25">
      <c r="A434" s="24">
        <v>130</v>
      </c>
      <c r="B434" s="25" t="s">
        <v>89</v>
      </c>
      <c r="C434" s="24" t="s">
        <v>371</v>
      </c>
      <c r="D434" s="24" t="s">
        <v>36</v>
      </c>
      <c r="E434" s="24" t="s">
        <v>26</v>
      </c>
      <c r="F434" s="24"/>
      <c r="G434" s="13"/>
      <c r="H434" s="24">
        <v>1</v>
      </c>
      <c r="I434" s="66">
        <f t="shared" ref="I434:I440" si="39">SUM(F434:H434)</f>
        <v>1</v>
      </c>
      <c r="J434" s="15">
        <f t="shared" ref="J434:J440" si="40">O434*Q434</f>
        <v>1536.8964000000001</v>
      </c>
      <c r="K434" s="15">
        <f t="shared" ref="K434:K440" si="41">J434*I434</f>
        <v>1536.8964000000001</v>
      </c>
      <c r="L434" s="24">
        <v>52169</v>
      </c>
      <c r="M434" s="103"/>
      <c r="N434" s="13">
        <v>8.7100000000000009</v>
      </c>
      <c r="O434" s="13">
        <v>9.75</v>
      </c>
      <c r="P434" s="13">
        <v>8.02</v>
      </c>
      <c r="Q434" s="16">
        <v>157.63040000000001</v>
      </c>
      <c r="R434" s="13"/>
    </row>
    <row r="435" spans="1:18" x14ac:dyDescent="0.25">
      <c r="A435" s="24">
        <v>131</v>
      </c>
      <c r="B435" s="25" t="s">
        <v>89</v>
      </c>
      <c r="C435" s="24" t="s">
        <v>36</v>
      </c>
      <c r="D435" s="24" t="s">
        <v>36</v>
      </c>
      <c r="E435" s="24" t="s">
        <v>26</v>
      </c>
      <c r="F435" s="24"/>
      <c r="G435" s="13"/>
      <c r="H435" s="24">
        <v>134</v>
      </c>
      <c r="I435" s="66">
        <f t="shared" si="39"/>
        <v>134</v>
      </c>
      <c r="J435" s="15">
        <f t="shared" si="40"/>
        <v>1536.8964000000001</v>
      </c>
      <c r="K435" s="15">
        <f t="shared" si="41"/>
        <v>205944.1176</v>
      </c>
      <c r="L435" s="24">
        <v>52169</v>
      </c>
      <c r="M435" s="103"/>
      <c r="N435" s="13">
        <v>8.7100000000000009</v>
      </c>
      <c r="O435" s="13">
        <v>9.75</v>
      </c>
      <c r="P435" s="13">
        <v>8.02</v>
      </c>
      <c r="Q435" s="16">
        <v>157.63040000000001</v>
      </c>
      <c r="R435" s="13"/>
    </row>
    <row r="436" spans="1:18" x14ac:dyDescent="0.25">
      <c r="A436" s="24">
        <v>132</v>
      </c>
      <c r="B436" s="25" t="s">
        <v>89</v>
      </c>
      <c r="C436" s="24" t="s">
        <v>123</v>
      </c>
      <c r="D436" s="24" t="s">
        <v>120</v>
      </c>
      <c r="E436" s="24" t="s">
        <v>26</v>
      </c>
      <c r="F436" s="24"/>
      <c r="G436" s="13"/>
      <c r="H436" s="24">
        <v>5</v>
      </c>
      <c r="I436" s="66">
        <f t="shared" si="39"/>
        <v>5</v>
      </c>
      <c r="J436" s="15">
        <f t="shared" si="40"/>
        <v>1536.8964000000001</v>
      </c>
      <c r="K436" s="15">
        <f t="shared" si="41"/>
        <v>7684.482</v>
      </c>
      <c r="L436" s="24">
        <v>52169</v>
      </c>
      <c r="M436" s="103"/>
      <c r="N436" s="13">
        <v>8.7100000000000009</v>
      </c>
      <c r="O436" s="13">
        <v>9.75</v>
      </c>
      <c r="P436" s="13">
        <v>8.02</v>
      </c>
      <c r="Q436" s="16">
        <v>157.63040000000001</v>
      </c>
      <c r="R436" s="13"/>
    </row>
    <row r="437" spans="1:18" x14ac:dyDescent="0.25">
      <c r="A437" s="24">
        <v>133</v>
      </c>
      <c r="B437" s="25" t="s">
        <v>132</v>
      </c>
      <c r="C437" s="24" t="s">
        <v>372</v>
      </c>
      <c r="D437" s="24" t="s">
        <v>31</v>
      </c>
      <c r="E437" s="24" t="s">
        <v>26</v>
      </c>
      <c r="F437" s="24"/>
      <c r="G437" s="13"/>
      <c r="H437" s="24">
        <v>12</v>
      </c>
      <c r="I437" s="66">
        <f t="shared" si="39"/>
        <v>12</v>
      </c>
      <c r="J437" s="15">
        <f t="shared" si="40"/>
        <v>1273.653632</v>
      </c>
      <c r="K437" s="15">
        <f t="shared" si="41"/>
        <v>15283.843584</v>
      </c>
      <c r="L437" s="24">
        <v>52169</v>
      </c>
      <c r="M437" s="103"/>
      <c r="N437" s="13">
        <v>7.22</v>
      </c>
      <c r="O437" s="13">
        <v>8.08</v>
      </c>
      <c r="P437" s="13">
        <v>6.65</v>
      </c>
      <c r="Q437" s="16">
        <v>157.63040000000001</v>
      </c>
      <c r="R437" s="13"/>
    </row>
    <row r="438" spans="1:18" x14ac:dyDescent="0.25">
      <c r="A438" s="24">
        <v>134</v>
      </c>
      <c r="B438" s="25" t="s">
        <v>132</v>
      </c>
      <c r="C438" s="24" t="s">
        <v>136</v>
      </c>
      <c r="D438" s="24" t="s">
        <v>31</v>
      </c>
      <c r="E438" s="24" t="s">
        <v>26</v>
      </c>
      <c r="F438" s="24"/>
      <c r="G438" s="13"/>
      <c r="H438" s="24">
        <v>7</v>
      </c>
      <c r="I438" s="66">
        <f t="shared" si="39"/>
        <v>7</v>
      </c>
      <c r="J438" s="15">
        <f t="shared" si="40"/>
        <v>1273.653632</v>
      </c>
      <c r="K438" s="15">
        <f t="shared" si="41"/>
        <v>8915.5754240000006</v>
      </c>
      <c r="L438" s="24">
        <v>52169</v>
      </c>
      <c r="M438" s="103"/>
      <c r="N438" s="13">
        <v>7.22</v>
      </c>
      <c r="O438" s="13">
        <v>8.08</v>
      </c>
      <c r="P438" s="13">
        <v>6.65</v>
      </c>
      <c r="Q438" s="16">
        <v>157.63040000000001</v>
      </c>
      <c r="R438" s="13"/>
    </row>
    <row r="439" spans="1:18" x14ac:dyDescent="0.25">
      <c r="A439" s="24">
        <v>135</v>
      </c>
      <c r="B439" s="25" t="s">
        <v>132</v>
      </c>
      <c r="C439" s="24" t="s">
        <v>138</v>
      </c>
      <c r="D439" s="24" t="s">
        <v>31</v>
      </c>
      <c r="E439" s="24" t="s">
        <v>26</v>
      </c>
      <c r="F439" s="24"/>
      <c r="G439" s="13"/>
      <c r="H439" s="24">
        <v>27</v>
      </c>
      <c r="I439" s="66">
        <f t="shared" si="39"/>
        <v>27</v>
      </c>
      <c r="J439" s="15">
        <f t="shared" si="40"/>
        <v>1273.653632</v>
      </c>
      <c r="K439" s="15">
        <f t="shared" si="41"/>
        <v>34388.648064000001</v>
      </c>
      <c r="L439" s="24">
        <v>52169</v>
      </c>
      <c r="M439" s="103"/>
      <c r="N439" s="13">
        <v>7.22</v>
      </c>
      <c r="O439" s="13">
        <v>8.08</v>
      </c>
      <c r="P439" s="13">
        <v>6.65</v>
      </c>
      <c r="Q439" s="16">
        <v>157.63040000000001</v>
      </c>
      <c r="R439" s="13"/>
    </row>
    <row r="440" spans="1:18" x14ac:dyDescent="0.25">
      <c r="A440" s="24">
        <v>136</v>
      </c>
      <c r="B440" s="25" t="s">
        <v>132</v>
      </c>
      <c r="C440" s="24" t="s">
        <v>123</v>
      </c>
      <c r="D440" s="24" t="s">
        <v>31</v>
      </c>
      <c r="E440" s="24" t="s">
        <v>26</v>
      </c>
      <c r="F440" s="24"/>
      <c r="G440" s="13"/>
      <c r="H440" s="24">
        <v>1</v>
      </c>
      <c r="I440" s="66">
        <f t="shared" si="39"/>
        <v>1</v>
      </c>
      <c r="J440" s="15">
        <f t="shared" si="40"/>
        <v>1273.653632</v>
      </c>
      <c r="K440" s="15">
        <f t="shared" si="41"/>
        <v>1273.653632</v>
      </c>
      <c r="L440" s="24">
        <v>52169</v>
      </c>
      <c r="M440" s="103"/>
      <c r="N440" s="13">
        <v>7.22</v>
      </c>
      <c r="O440" s="13">
        <v>8.08</v>
      </c>
      <c r="P440" s="13">
        <v>6.65</v>
      </c>
      <c r="Q440" s="16">
        <v>157.63040000000001</v>
      </c>
      <c r="R440" s="13"/>
    </row>
    <row r="441" spans="1:18" x14ac:dyDescent="0.25">
      <c r="A441" s="123" t="s">
        <v>5</v>
      </c>
      <c r="B441" s="123"/>
      <c r="C441" s="123"/>
      <c r="D441" s="123"/>
      <c r="E441" s="123"/>
      <c r="F441" s="123"/>
      <c r="G441" s="123"/>
      <c r="H441" s="123"/>
      <c r="I441" s="123"/>
      <c r="J441" s="123"/>
      <c r="K441" s="60">
        <f>SUM(K305:K440)</f>
        <v>2173013.8791999994</v>
      </c>
      <c r="L441" s="13"/>
      <c r="M441" s="103"/>
      <c r="N441" s="13"/>
      <c r="O441" s="13"/>
      <c r="P441" s="13"/>
      <c r="Q441" s="13"/>
      <c r="R441" s="13"/>
    </row>
    <row r="442" spans="1:18" x14ac:dyDescent="0.25">
      <c r="A442" s="123" t="s">
        <v>669</v>
      </c>
      <c r="B442" s="123"/>
      <c r="C442" s="123"/>
      <c r="D442" s="123"/>
      <c r="E442" s="123"/>
      <c r="F442" s="123"/>
      <c r="G442" s="123"/>
      <c r="H442" s="123"/>
      <c r="I442" s="123"/>
      <c r="J442" s="123"/>
      <c r="K442" s="15"/>
      <c r="L442" s="13"/>
      <c r="M442" s="104"/>
      <c r="N442" s="13"/>
      <c r="O442" s="13"/>
      <c r="P442" s="13"/>
      <c r="Q442" s="13"/>
      <c r="R442" s="13"/>
    </row>
    <row r="445" spans="1:18" x14ac:dyDescent="0.25">
      <c r="A445" s="132" t="s">
        <v>294</v>
      </c>
      <c r="B445" s="132"/>
      <c r="C445" s="132"/>
      <c r="D445" s="132"/>
      <c r="E445" s="132"/>
      <c r="F445" s="132"/>
      <c r="G445" s="132"/>
      <c r="H445" s="132"/>
      <c r="I445" s="132"/>
      <c r="J445" s="132"/>
      <c r="K445" s="132"/>
      <c r="L445" s="137" t="s">
        <v>1</v>
      </c>
      <c r="M445" s="1"/>
      <c r="N445" s="1"/>
      <c r="O445" s="1"/>
      <c r="P445" s="1"/>
      <c r="Q445" s="134" t="s">
        <v>2</v>
      </c>
      <c r="R445" s="145" t="s">
        <v>203</v>
      </c>
    </row>
    <row r="446" spans="1:18" x14ac:dyDescent="0.25">
      <c r="A446" s="135" t="s">
        <v>283</v>
      </c>
      <c r="B446" s="135"/>
      <c r="C446" s="135"/>
      <c r="D446" s="135"/>
      <c r="E446" s="135"/>
      <c r="F446" s="135"/>
      <c r="G446" s="135"/>
      <c r="H446" s="135"/>
      <c r="I446" s="135"/>
      <c r="J446" s="2" t="s">
        <v>5</v>
      </c>
      <c r="K446" s="136" t="s">
        <v>6</v>
      </c>
      <c r="L446" s="137"/>
      <c r="M446" s="131" t="s">
        <v>7</v>
      </c>
      <c r="N446" s="3"/>
      <c r="O446" s="3"/>
      <c r="P446" s="4"/>
      <c r="Q446" s="134"/>
      <c r="R446" s="145"/>
    </row>
    <row r="447" spans="1:18" x14ac:dyDescent="0.25">
      <c r="A447" s="5"/>
      <c r="B447" s="142" t="s">
        <v>140</v>
      </c>
      <c r="C447" s="142"/>
      <c r="D447" s="142"/>
      <c r="E447" s="142"/>
      <c r="F447" s="143" t="s">
        <v>9</v>
      </c>
      <c r="G447" s="143"/>
      <c r="H447" s="143"/>
      <c r="I447" s="64"/>
      <c r="J447" s="136" t="s">
        <v>10</v>
      </c>
      <c r="K447" s="136"/>
      <c r="L447" s="137"/>
      <c r="M447" s="131"/>
      <c r="N447" s="144" t="s">
        <v>11</v>
      </c>
      <c r="O447" s="131" t="s">
        <v>12</v>
      </c>
      <c r="P447" s="131" t="s">
        <v>13</v>
      </c>
      <c r="Q447" s="134"/>
      <c r="R447" s="145"/>
    </row>
    <row r="448" spans="1:18" ht="26.25" x14ac:dyDescent="0.25">
      <c r="A448" s="5" t="s">
        <v>14</v>
      </c>
      <c r="B448" s="8" t="s">
        <v>15</v>
      </c>
      <c r="C448" s="8" t="s">
        <v>16</v>
      </c>
      <c r="D448" s="8" t="s">
        <v>17</v>
      </c>
      <c r="E448" s="9" t="s">
        <v>18</v>
      </c>
      <c r="F448" s="10" t="s">
        <v>19</v>
      </c>
      <c r="G448" s="11" t="s">
        <v>20</v>
      </c>
      <c r="H448" s="12" t="s">
        <v>21</v>
      </c>
      <c r="I448" s="65" t="s">
        <v>22</v>
      </c>
      <c r="J448" s="136"/>
      <c r="K448" s="136"/>
      <c r="L448" s="137"/>
      <c r="M448" s="131"/>
      <c r="N448" s="144"/>
      <c r="O448" s="131"/>
      <c r="P448" s="131"/>
      <c r="Q448" s="134"/>
      <c r="R448" s="145"/>
    </row>
    <row r="449" spans="1:18" x14ac:dyDescent="0.25">
      <c r="A449" s="24">
        <v>1</v>
      </c>
      <c r="B449" s="25" t="s">
        <v>373</v>
      </c>
      <c r="C449" s="25" t="s">
        <v>290</v>
      </c>
      <c r="D449" s="24" t="s">
        <v>286</v>
      </c>
      <c r="E449" s="24" t="s">
        <v>65</v>
      </c>
      <c r="F449" s="13"/>
      <c r="G449" s="13"/>
      <c r="H449" s="24">
        <v>48</v>
      </c>
      <c r="I449" s="66">
        <f>SUM(F449:H449)</f>
        <v>48</v>
      </c>
      <c r="J449" s="15">
        <f>O449*Q449</f>
        <v>4271.7838400000001</v>
      </c>
      <c r="K449" s="15">
        <f>J449*I449</f>
        <v>205045.62432</v>
      </c>
      <c r="L449" s="24">
        <v>52155</v>
      </c>
      <c r="M449" s="102" t="s">
        <v>697</v>
      </c>
      <c r="N449" s="13">
        <v>24.2</v>
      </c>
      <c r="O449" s="13">
        <v>27.1</v>
      </c>
      <c r="P449" s="13">
        <v>20</v>
      </c>
      <c r="Q449" s="16">
        <v>157.63040000000001</v>
      </c>
      <c r="R449" s="13"/>
    </row>
    <row r="450" spans="1:18" x14ac:dyDescent="0.25">
      <c r="A450" s="24">
        <v>2</v>
      </c>
      <c r="B450" s="25" t="s">
        <v>373</v>
      </c>
      <c r="C450" s="25" t="s">
        <v>293</v>
      </c>
      <c r="D450" s="24" t="s">
        <v>286</v>
      </c>
      <c r="E450" s="24" t="s">
        <v>65</v>
      </c>
      <c r="F450" s="13"/>
      <c r="G450" s="13"/>
      <c r="H450" s="24">
        <v>125</v>
      </c>
      <c r="I450" s="66">
        <f t="shared" ref="I450:I486" si="42">SUM(F450:H450)</f>
        <v>125</v>
      </c>
      <c r="J450" s="15">
        <f t="shared" ref="J450:J486" si="43">O450*Q450</f>
        <v>4271.7838400000001</v>
      </c>
      <c r="K450" s="15">
        <f t="shared" ref="K450:K486" si="44">J450*I450</f>
        <v>533972.98</v>
      </c>
      <c r="L450" s="24">
        <v>52155</v>
      </c>
      <c r="M450" s="103"/>
      <c r="N450" s="13">
        <v>24.2</v>
      </c>
      <c r="O450" s="13">
        <v>27.1</v>
      </c>
      <c r="P450" s="13">
        <v>20</v>
      </c>
      <c r="Q450" s="16">
        <v>157.63040000000001</v>
      </c>
      <c r="R450" s="13"/>
    </row>
    <row r="451" spans="1:18" x14ac:dyDescent="0.25">
      <c r="A451" s="24">
        <v>3</v>
      </c>
      <c r="B451" s="25" t="s">
        <v>373</v>
      </c>
      <c r="C451" s="25" t="s">
        <v>374</v>
      </c>
      <c r="D451" s="24" t="s">
        <v>286</v>
      </c>
      <c r="E451" s="24" t="s">
        <v>65</v>
      </c>
      <c r="F451" s="13"/>
      <c r="G451" s="13"/>
      <c r="H451" s="24">
        <v>57</v>
      </c>
      <c r="I451" s="66">
        <f t="shared" si="42"/>
        <v>57</v>
      </c>
      <c r="J451" s="15">
        <f t="shared" si="43"/>
        <v>4271.7838400000001</v>
      </c>
      <c r="K451" s="15">
        <f t="shared" si="44"/>
        <v>243491.67887999999</v>
      </c>
      <c r="L451" s="24">
        <v>52155</v>
      </c>
      <c r="M451" s="103"/>
      <c r="N451" s="13">
        <v>24.2</v>
      </c>
      <c r="O451" s="13">
        <v>27.1</v>
      </c>
      <c r="P451" s="13">
        <v>20</v>
      </c>
      <c r="Q451" s="16">
        <v>157.63040000000001</v>
      </c>
      <c r="R451" s="13"/>
    </row>
    <row r="452" spans="1:18" x14ac:dyDescent="0.25">
      <c r="A452" s="24">
        <v>4</v>
      </c>
      <c r="B452" s="25" t="s">
        <v>373</v>
      </c>
      <c r="C452" s="25" t="s">
        <v>375</v>
      </c>
      <c r="D452" s="24" t="s">
        <v>286</v>
      </c>
      <c r="E452" s="24" t="s">
        <v>65</v>
      </c>
      <c r="F452" s="13"/>
      <c r="G452" s="13"/>
      <c r="H452" s="24">
        <v>24</v>
      </c>
      <c r="I452" s="66">
        <f t="shared" si="42"/>
        <v>24</v>
      </c>
      <c r="J452" s="15">
        <f t="shared" si="43"/>
        <v>4271.7838400000001</v>
      </c>
      <c r="K452" s="15">
        <f t="shared" si="44"/>
        <v>102522.81216</v>
      </c>
      <c r="L452" s="24">
        <v>52155</v>
      </c>
      <c r="M452" s="103"/>
      <c r="N452" s="13">
        <v>24.2</v>
      </c>
      <c r="O452" s="13">
        <v>27.1</v>
      </c>
      <c r="P452" s="13">
        <v>20</v>
      </c>
      <c r="Q452" s="16">
        <v>157.63040000000001</v>
      </c>
      <c r="R452" s="13"/>
    </row>
    <row r="453" spans="1:18" x14ac:dyDescent="0.25">
      <c r="A453" s="24">
        <v>5</v>
      </c>
      <c r="B453" s="25" t="s">
        <v>373</v>
      </c>
      <c r="C453" s="25" t="s">
        <v>376</v>
      </c>
      <c r="D453" s="24" t="s">
        <v>286</v>
      </c>
      <c r="E453" s="24" t="s">
        <v>65</v>
      </c>
      <c r="F453" s="13"/>
      <c r="G453" s="13"/>
      <c r="H453" s="24">
        <v>133</v>
      </c>
      <c r="I453" s="66">
        <f t="shared" si="42"/>
        <v>133</v>
      </c>
      <c r="J453" s="15">
        <f t="shared" si="43"/>
        <v>4271.7838400000001</v>
      </c>
      <c r="K453" s="15">
        <f t="shared" si="44"/>
        <v>568147.25072000001</v>
      </c>
      <c r="L453" s="24">
        <v>52155</v>
      </c>
      <c r="M453" s="103"/>
      <c r="N453" s="13">
        <v>24.2</v>
      </c>
      <c r="O453" s="13">
        <v>27.1</v>
      </c>
      <c r="P453" s="13">
        <v>20</v>
      </c>
      <c r="Q453" s="16">
        <v>157.63040000000001</v>
      </c>
      <c r="R453" s="13"/>
    </row>
    <row r="454" spans="1:18" x14ac:dyDescent="0.25">
      <c r="A454" s="24">
        <v>6</v>
      </c>
      <c r="B454" s="25" t="s">
        <v>373</v>
      </c>
      <c r="C454" s="25" t="s">
        <v>377</v>
      </c>
      <c r="D454" s="24" t="s">
        <v>286</v>
      </c>
      <c r="E454" s="24" t="s">
        <v>65</v>
      </c>
      <c r="F454" s="13"/>
      <c r="G454" s="13"/>
      <c r="H454" s="24">
        <v>18</v>
      </c>
      <c r="I454" s="66">
        <f t="shared" si="42"/>
        <v>18</v>
      </c>
      <c r="J454" s="15">
        <f t="shared" si="43"/>
        <v>4271.7838400000001</v>
      </c>
      <c r="K454" s="15">
        <f t="shared" si="44"/>
        <v>76892.109120000008</v>
      </c>
      <c r="L454" s="24">
        <v>52156</v>
      </c>
      <c r="M454" s="103"/>
      <c r="N454" s="13">
        <v>24.2</v>
      </c>
      <c r="O454" s="13">
        <v>27.1</v>
      </c>
      <c r="P454" s="13">
        <v>20</v>
      </c>
      <c r="Q454" s="16">
        <v>157.63040000000001</v>
      </c>
      <c r="R454" s="13"/>
    </row>
    <row r="455" spans="1:18" x14ac:dyDescent="0.25">
      <c r="A455" s="24">
        <v>7</v>
      </c>
      <c r="B455" s="25" t="s">
        <v>373</v>
      </c>
      <c r="C455" s="25" t="s">
        <v>378</v>
      </c>
      <c r="D455" s="24" t="s">
        <v>286</v>
      </c>
      <c r="E455" s="24" t="s">
        <v>65</v>
      </c>
      <c r="F455" s="13"/>
      <c r="G455" s="13"/>
      <c r="H455" s="24">
        <v>13</v>
      </c>
      <c r="I455" s="66">
        <f t="shared" si="42"/>
        <v>13</v>
      </c>
      <c r="J455" s="15">
        <f t="shared" si="43"/>
        <v>4271.7838400000001</v>
      </c>
      <c r="K455" s="15">
        <f t="shared" si="44"/>
        <v>55533.189920000004</v>
      </c>
      <c r="L455" s="24">
        <v>52156</v>
      </c>
      <c r="M455" s="103"/>
      <c r="N455" s="13">
        <v>24.2</v>
      </c>
      <c r="O455" s="13">
        <v>27.1</v>
      </c>
      <c r="P455" s="13">
        <v>20</v>
      </c>
      <c r="Q455" s="16">
        <v>157.63040000000001</v>
      </c>
      <c r="R455" s="13"/>
    </row>
    <row r="456" spans="1:18" x14ac:dyDescent="0.25">
      <c r="A456" s="24">
        <v>8</v>
      </c>
      <c r="B456" s="25" t="s">
        <v>373</v>
      </c>
      <c r="C456" s="25" t="s">
        <v>379</v>
      </c>
      <c r="D456" s="24" t="s">
        <v>286</v>
      </c>
      <c r="E456" s="24" t="s">
        <v>65</v>
      </c>
      <c r="F456" s="13"/>
      <c r="G456" s="13"/>
      <c r="H456" s="24">
        <v>9</v>
      </c>
      <c r="I456" s="66">
        <f t="shared" si="42"/>
        <v>9</v>
      </c>
      <c r="J456" s="15">
        <f t="shared" si="43"/>
        <v>4271.7838400000001</v>
      </c>
      <c r="K456" s="15">
        <f t="shared" si="44"/>
        <v>38446.054560000004</v>
      </c>
      <c r="L456" s="24">
        <v>52156</v>
      </c>
      <c r="M456" s="103"/>
      <c r="N456" s="13">
        <v>24.2</v>
      </c>
      <c r="O456" s="13">
        <v>27.1</v>
      </c>
      <c r="P456" s="13">
        <v>20</v>
      </c>
      <c r="Q456" s="16">
        <v>157.63040000000001</v>
      </c>
      <c r="R456" s="13"/>
    </row>
    <row r="457" spans="1:18" x14ac:dyDescent="0.25">
      <c r="A457" s="24">
        <v>9</v>
      </c>
      <c r="B457" s="25" t="s">
        <v>373</v>
      </c>
      <c r="C457" s="25" t="s">
        <v>380</v>
      </c>
      <c r="D457" s="24" t="s">
        <v>286</v>
      </c>
      <c r="E457" s="24" t="s">
        <v>65</v>
      </c>
      <c r="F457" s="13"/>
      <c r="G457" s="13"/>
      <c r="H457" s="24">
        <v>6</v>
      </c>
      <c r="I457" s="66">
        <f t="shared" si="42"/>
        <v>6</v>
      </c>
      <c r="J457" s="15">
        <f t="shared" si="43"/>
        <v>4271.7838400000001</v>
      </c>
      <c r="K457" s="15">
        <f t="shared" si="44"/>
        <v>25630.70304</v>
      </c>
      <c r="L457" s="24">
        <v>52156</v>
      </c>
      <c r="M457" s="103"/>
      <c r="N457" s="13">
        <v>24.2</v>
      </c>
      <c r="O457" s="13">
        <v>27.1</v>
      </c>
      <c r="P457" s="13">
        <v>20</v>
      </c>
      <c r="Q457" s="16">
        <v>157.63040000000001</v>
      </c>
      <c r="R457" s="13"/>
    </row>
    <row r="458" spans="1:18" x14ac:dyDescent="0.25">
      <c r="A458" s="24">
        <v>10</v>
      </c>
      <c r="B458" s="25" t="s">
        <v>373</v>
      </c>
      <c r="C458" s="32">
        <v>45</v>
      </c>
      <c r="D458" s="24" t="s">
        <v>286</v>
      </c>
      <c r="E458" s="24" t="s">
        <v>65</v>
      </c>
      <c r="F458" s="13"/>
      <c r="G458" s="13"/>
      <c r="H458" s="24">
        <v>3</v>
      </c>
      <c r="I458" s="66">
        <f t="shared" si="42"/>
        <v>3</v>
      </c>
      <c r="J458" s="15">
        <f t="shared" si="43"/>
        <v>4271.7838400000001</v>
      </c>
      <c r="K458" s="15">
        <f t="shared" si="44"/>
        <v>12815.35152</v>
      </c>
      <c r="L458" s="24">
        <v>52156</v>
      </c>
      <c r="M458" s="103"/>
      <c r="N458" s="13">
        <v>24.2</v>
      </c>
      <c r="O458" s="13">
        <v>27.1</v>
      </c>
      <c r="P458" s="13">
        <v>20</v>
      </c>
      <c r="Q458" s="16">
        <v>157.63040000000001</v>
      </c>
      <c r="R458" s="13"/>
    </row>
    <row r="459" spans="1:18" x14ac:dyDescent="0.25">
      <c r="A459" s="24">
        <v>11</v>
      </c>
      <c r="B459" s="25" t="s">
        <v>373</v>
      </c>
      <c r="C459" s="25" t="s">
        <v>289</v>
      </c>
      <c r="D459" s="24" t="s">
        <v>286</v>
      </c>
      <c r="E459" s="24" t="s">
        <v>65</v>
      </c>
      <c r="F459" s="13"/>
      <c r="G459" s="13"/>
      <c r="H459" s="24">
        <v>8</v>
      </c>
      <c r="I459" s="66">
        <f t="shared" si="42"/>
        <v>8</v>
      </c>
      <c r="J459" s="15">
        <f t="shared" si="43"/>
        <v>4271.7838400000001</v>
      </c>
      <c r="K459" s="15">
        <f t="shared" si="44"/>
        <v>34174.27072</v>
      </c>
      <c r="L459" s="24">
        <v>52156</v>
      </c>
      <c r="M459" s="103"/>
      <c r="N459" s="13">
        <v>24.2</v>
      </c>
      <c r="O459" s="13">
        <v>27.1</v>
      </c>
      <c r="P459" s="13">
        <v>20</v>
      </c>
      <c r="Q459" s="16">
        <v>157.63040000000001</v>
      </c>
      <c r="R459" s="13"/>
    </row>
    <row r="460" spans="1:18" x14ac:dyDescent="0.25">
      <c r="A460" s="24">
        <v>12</v>
      </c>
      <c r="B460" s="25" t="s">
        <v>373</v>
      </c>
      <c r="C460" s="25" t="s">
        <v>381</v>
      </c>
      <c r="D460" s="24" t="s">
        <v>286</v>
      </c>
      <c r="E460" s="24" t="s">
        <v>65</v>
      </c>
      <c r="F460" s="13"/>
      <c r="G460" s="13"/>
      <c r="H460" s="24">
        <v>5</v>
      </c>
      <c r="I460" s="66">
        <f t="shared" si="42"/>
        <v>5</v>
      </c>
      <c r="J460" s="15">
        <f t="shared" si="43"/>
        <v>4271.7838400000001</v>
      </c>
      <c r="K460" s="15">
        <f t="shared" si="44"/>
        <v>21358.9192</v>
      </c>
      <c r="L460" s="24">
        <v>52156</v>
      </c>
      <c r="M460" s="103"/>
      <c r="N460" s="13">
        <v>24.2</v>
      </c>
      <c r="O460" s="13">
        <v>27.1</v>
      </c>
      <c r="P460" s="13">
        <v>20</v>
      </c>
      <c r="Q460" s="16">
        <v>157.63040000000001</v>
      </c>
      <c r="R460" s="13"/>
    </row>
    <row r="461" spans="1:18" x14ac:dyDescent="0.25">
      <c r="A461" s="24">
        <v>13</v>
      </c>
      <c r="B461" s="25" t="s">
        <v>373</v>
      </c>
      <c r="C461" s="25" t="s">
        <v>382</v>
      </c>
      <c r="D461" s="24" t="s">
        <v>286</v>
      </c>
      <c r="E461" s="24" t="s">
        <v>65</v>
      </c>
      <c r="F461" s="13"/>
      <c r="G461" s="13"/>
      <c r="H461" s="24">
        <v>2</v>
      </c>
      <c r="I461" s="66">
        <f t="shared" si="42"/>
        <v>2</v>
      </c>
      <c r="J461" s="15">
        <f t="shared" si="43"/>
        <v>4271.7838400000001</v>
      </c>
      <c r="K461" s="15">
        <f t="shared" si="44"/>
        <v>8543.5676800000001</v>
      </c>
      <c r="L461" s="24">
        <v>52156</v>
      </c>
      <c r="M461" s="103"/>
      <c r="N461" s="13">
        <v>24.2</v>
      </c>
      <c r="O461" s="13">
        <v>27.1</v>
      </c>
      <c r="P461" s="13">
        <v>20</v>
      </c>
      <c r="Q461" s="16">
        <v>157.63040000000001</v>
      </c>
      <c r="R461" s="13"/>
    </row>
    <row r="462" spans="1:18" x14ac:dyDescent="0.25">
      <c r="A462" s="24">
        <v>14</v>
      </c>
      <c r="B462" s="25" t="s">
        <v>373</v>
      </c>
      <c r="C462" s="25" t="s">
        <v>383</v>
      </c>
      <c r="D462" s="24" t="s">
        <v>286</v>
      </c>
      <c r="E462" s="24" t="s">
        <v>65</v>
      </c>
      <c r="F462" s="13"/>
      <c r="G462" s="13"/>
      <c r="H462" s="24">
        <v>8</v>
      </c>
      <c r="I462" s="66">
        <f t="shared" si="42"/>
        <v>8</v>
      </c>
      <c r="J462" s="15">
        <f t="shared" si="43"/>
        <v>4271.7838400000001</v>
      </c>
      <c r="K462" s="15">
        <f t="shared" si="44"/>
        <v>34174.27072</v>
      </c>
      <c r="L462" s="24">
        <v>52156</v>
      </c>
      <c r="M462" s="103"/>
      <c r="N462" s="13">
        <v>24.2</v>
      </c>
      <c r="O462" s="13">
        <v>27.1</v>
      </c>
      <c r="P462" s="13">
        <v>20</v>
      </c>
      <c r="Q462" s="16">
        <v>157.63040000000001</v>
      </c>
      <c r="R462" s="13"/>
    </row>
    <row r="463" spans="1:18" ht="30" x14ac:dyDescent="0.25">
      <c r="A463" s="24">
        <v>15</v>
      </c>
      <c r="B463" s="25" t="s">
        <v>373</v>
      </c>
      <c r="C463" s="25" t="s">
        <v>384</v>
      </c>
      <c r="D463" s="24" t="s">
        <v>286</v>
      </c>
      <c r="E463" s="24" t="s">
        <v>65</v>
      </c>
      <c r="F463" s="13"/>
      <c r="G463" s="13"/>
      <c r="H463" s="24">
        <v>5</v>
      </c>
      <c r="I463" s="66">
        <f t="shared" si="42"/>
        <v>5</v>
      </c>
      <c r="J463" s="15">
        <f t="shared" si="43"/>
        <v>4271.7838400000001</v>
      </c>
      <c r="K463" s="15">
        <f t="shared" si="44"/>
        <v>21358.9192</v>
      </c>
      <c r="L463" s="24">
        <v>52156</v>
      </c>
      <c r="M463" s="103"/>
      <c r="N463" s="13">
        <v>24.2</v>
      </c>
      <c r="O463" s="13">
        <v>27.1</v>
      </c>
      <c r="P463" s="13">
        <v>20</v>
      </c>
      <c r="Q463" s="16">
        <v>157.63040000000001</v>
      </c>
      <c r="R463" s="13"/>
    </row>
    <row r="464" spans="1:18" x14ac:dyDescent="0.25">
      <c r="A464" s="24">
        <v>16</v>
      </c>
      <c r="B464" s="25" t="s">
        <v>373</v>
      </c>
      <c r="C464" s="25" t="s">
        <v>385</v>
      </c>
      <c r="D464" s="24" t="s">
        <v>286</v>
      </c>
      <c r="E464" s="24" t="s">
        <v>65</v>
      </c>
      <c r="F464" s="13"/>
      <c r="G464" s="13"/>
      <c r="H464" s="24">
        <v>2</v>
      </c>
      <c r="I464" s="66">
        <f t="shared" si="42"/>
        <v>2</v>
      </c>
      <c r="J464" s="15">
        <f t="shared" si="43"/>
        <v>4271.7838400000001</v>
      </c>
      <c r="K464" s="15">
        <f t="shared" si="44"/>
        <v>8543.5676800000001</v>
      </c>
      <c r="L464" s="24">
        <v>52156</v>
      </c>
      <c r="M464" s="103"/>
      <c r="N464" s="13">
        <v>24.2</v>
      </c>
      <c r="O464" s="13">
        <v>27.1</v>
      </c>
      <c r="P464" s="13">
        <v>20</v>
      </c>
      <c r="Q464" s="16">
        <v>157.63040000000001</v>
      </c>
      <c r="R464" s="13"/>
    </row>
    <row r="465" spans="1:18" x14ac:dyDescent="0.25">
      <c r="A465" s="24">
        <v>17</v>
      </c>
      <c r="B465" s="25" t="s">
        <v>373</v>
      </c>
      <c r="C465" s="25" t="s">
        <v>292</v>
      </c>
      <c r="D465" s="24" t="s">
        <v>286</v>
      </c>
      <c r="E465" s="24" t="s">
        <v>65</v>
      </c>
      <c r="F465" s="13"/>
      <c r="G465" s="13"/>
      <c r="H465" s="24">
        <v>2</v>
      </c>
      <c r="I465" s="66">
        <f t="shared" si="42"/>
        <v>2</v>
      </c>
      <c r="J465" s="15">
        <f t="shared" si="43"/>
        <v>4271.7838400000001</v>
      </c>
      <c r="K465" s="15">
        <f t="shared" si="44"/>
        <v>8543.5676800000001</v>
      </c>
      <c r="L465" s="24">
        <v>52156</v>
      </c>
      <c r="M465" s="103"/>
      <c r="N465" s="13">
        <v>24.2</v>
      </c>
      <c r="O465" s="13">
        <v>27.1</v>
      </c>
      <c r="P465" s="13">
        <v>20</v>
      </c>
      <c r="Q465" s="16">
        <v>157.63040000000001</v>
      </c>
      <c r="R465" s="13"/>
    </row>
    <row r="466" spans="1:18" x14ac:dyDescent="0.25">
      <c r="A466" s="24">
        <v>18</v>
      </c>
      <c r="B466" s="25" t="s">
        <v>373</v>
      </c>
      <c r="C466" s="25" t="s">
        <v>386</v>
      </c>
      <c r="D466" s="24" t="s">
        <v>286</v>
      </c>
      <c r="E466" s="24" t="s">
        <v>65</v>
      </c>
      <c r="F466" s="13"/>
      <c r="G466" s="13"/>
      <c r="H466" s="24">
        <v>4</v>
      </c>
      <c r="I466" s="66">
        <f t="shared" si="42"/>
        <v>4</v>
      </c>
      <c r="J466" s="15">
        <f t="shared" si="43"/>
        <v>4271.7838400000001</v>
      </c>
      <c r="K466" s="15">
        <f t="shared" si="44"/>
        <v>17087.13536</v>
      </c>
      <c r="L466" s="24">
        <v>52156</v>
      </c>
      <c r="M466" s="103"/>
      <c r="N466" s="13">
        <v>24.2</v>
      </c>
      <c r="O466" s="13">
        <v>27.1</v>
      </c>
      <c r="P466" s="13">
        <v>20</v>
      </c>
      <c r="Q466" s="16">
        <v>157.63040000000001</v>
      </c>
      <c r="R466" s="13"/>
    </row>
    <row r="467" spans="1:18" x14ac:dyDescent="0.25">
      <c r="A467" s="24">
        <v>19</v>
      </c>
      <c r="B467" s="25" t="s">
        <v>373</v>
      </c>
      <c r="C467" s="25" t="s">
        <v>387</v>
      </c>
      <c r="D467" s="24" t="s">
        <v>286</v>
      </c>
      <c r="E467" s="24" t="s">
        <v>65</v>
      </c>
      <c r="F467" s="13"/>
      <c r="G467" s="13"/>
      <c r="H467" s="24">
        <v>56</v>
      </c>
      <c r="I467" s="66">
        <f t="shared" si="42"/>
        <v>56</v>
      </c>
      <c r="J467" s="15">
        <f t="shared" si="43"/>
        <v>4271.7838400000001</v>
      </c>
      <c r="K467" s="15">
        <f t="shared" si="44"/>
        <v>239219.89504</v>
      </c>
      <c r="L467" s="24">
        <v>52157</v>
      </c>
      <c r="M467" s="103"/>
      <c r="N467" s="13">
        <v>24.2</v>
      </c>
      <c r="O467" s="13">
        <v>27.1</v>
      </c>
      <c r="P467" s="13">
        <v>20</v>
      </c>
      <c r="Q467" s="16">
        <v>157.63040000000001</v>
      </c>
      <c r="R467" s="13"/>
    </row>
    <row r="468" spans="1:18" x14ac:dyDescent="0.25">
      <c r="A468" s="24">
        <v>20</v>
      </c>
      <c r="B468" s="25" t="s">
        <v>373</v>
      </c>
      <c r="C468" s="25" t="s">
        <v>128</v>
      </c>
      <c r="D468" s="24" t="s">
        <v>286</v>
      </c>
      <c r="E468" s="24" t="s">
        <v>65</v>
      </c>
      <c r="F468" s="13"/>
      <c r="G468" s="13"/>
      <c r="H468" s="24">
        <v>27</v>
      </c>
      <c r="I468" s="66">
        <f t="shared" si="42"/>
        <v>27</v>
      </c>
      <c r="J468" s="15">
        <f t="shared" si="43"/>
        <v>4271.7838400000001</v>
      </c>
      <c r="K468" s="15">
        <f t="shared" si="44"/>
        <v>115338.16368</v>
      </c>
      <c r="L468" s="24">
        <v>52157</v>
      </c>
      <c r="M468" s="103"/>
      <c r="N468" s="13">
        <v>24.2</v>
      </c>
      <c r="O468" s="13">
        <v>27.1</v>
      </c>
      <c r="P468" s="13">
        <v>20</v>
      </c>
      <c r="Q468" s="16">
        <v>157.63040000000001</v>
      </c>
      <c r="R468" s="13"/>
    </row>
    <row r="469" spans="1:18" x14ac:dyDescent="0.25">
      <c r="A469" s="24">
        <v>21</v>
      </c>
      <c r="B469" s="25" t="s">
        <v>373</v>
      </c>
      <c r="C469" s="25" t="s">
        <v>388</v>
      </c>
      <c r="D469" s="24" t="s">
        <v>286</v>
      </c>
      <c r="E469" s="24" t="s">
        <v>65</v>
      </c>
      <c r="F469" s="13"/>
      <c r="G469" s="13"/>
      <c r="H469" s="24">
        <v>21</v>
      </c>
      <c r="I469" s="66">
        <f t="shared" si="42"/>
        <v>21</v>
      </c>
      <c r="J469" s="15">
        <f t="shared" si="43"/>
        <v>4271.7838400000001</v>
      </c>
      <c r="K469" s="15">
        <f t="shared" si="44"/>
        <v>89707.460640000005</v>
      </c>
      <c r="L469" s="24">
        <v>52157</v>
      </c>
      <c r="M469" s="103"/>
      <c r="N469" s="13">
        <v>24.2</v>
      </c>
      <c r="O469" s="13">
        <v>27.1</v>
      </c>
      <c r="P469" s="13">
        <v>20</v>
      </c>
      <c r="Q469" s="16">
        <v>157.63040000000001</v>
      </c>
      <c r="R469" s="13"/>
    </row>
    <row r="470" spans="1:18" x14ac:dyDescent="0.25">
      <c r="A470" s="24">
        <v>22</v>
      </c>
      <c r="B470" s="25" t="s">
        <v>373</v>
      </c>
      <c r="C470" s="25" t="s">
        <v>389</v>
      </c>
      <c r="D470" s="24" t="s">
        <v>286</v>
      </c>
      <c r="E470" s="24" t="s">
        <v>65</v>
      </c>
      <c r="F470" s="13"/>
      <c r="G470" s="13"/>
      <c r="H470" s="24">
        <v>35</v>
      </c>
      <c r="I470" s="66">
        <f t="shared" si="42"/>
        <v>35</v>
      </c>
      <c r="J470" s="15">
        <f t="shared" si="43"/>
        <v>4271.7838400000001</v>
      </c>
      <c r="K470" s="15">
        <f t="shared" si="44"/>
        <v>149512.4344</v>
      </c>
      <c r="L470" s="24">
        <v>52157</v>
      </c>
      <c r="M470" s="103"/>
      <c r="N470" s="13">
        <v>24.2</v>
      </c>
      <c r="O470" s="13">
        <v>27.1</v>
      </c>
      <c r="P470" s="13">
        <v>20</v>
      </c>
      <c r="Q470" s="16">
        <v>157.63040000000001</v>
      </c>
      <c r="R470" s="13"/>
    </row>
    <row r="471" spans="1:18" x14ac:dyDescent="0.25">
      <c r="A471" s="24">
        <v>23</v>
      </c>
      <c r="B471" s="25" t="s">
        <v>373</v>
      </c>
      <c r="C471" s="25" t="s">
        <v>390</v>
      </c>
      <c r="D471" s="24" t="s">
        <v>286</v>
      </c>
      <c r="E471" s="24" t="s">
        <v>65</v>
      </c>
      <c r="F471" s="13"/>
      <c r="G471" s="13"/>
      <c r="H471" s="24">
        <v>9</v>
      </c>
      <c r="I471" s="66">
        <f t="shared" si="42"/>
        <v>9</v>
      </c>
      <c r="J471" s="15">
        <f t="shared" si="43"/>
        <v>4271.7838400000001</v>
      </c>
      <c r="K471" s="15">
        <f t="shared" si="44"/>
        <v>38446.054560000004</v>
      </c>
      <c r="L471" s="24">
        <v>52157</v>
      </c>
      <c r="M471" s="103"/>
      <c r="N471" s="13">
        <v>24.2</v>
      </c>
      <c r="O471" s="13">
        <v>27.1</v>
      </c>
      <c r="P471" s="13">
        <v>20</v>
      </c>
      <c r="Q471" s="16">
        <v>157.63040000000001</v>
      </c>
      <c r="R471" s="13"/>
    </row>
    <row r="472" spans="1:18" x14ac:dyDescent="0.25">
      <c r="A472" s="24">
        <v>24</v>
      </c>
      <c r="B472" s="25" t="s">
        <v>373</v>
      </c>
      <c r="C472" s="25" t="s">
        <v>391</v>
      </c>
      <c r="D472" s="24" t="s">
        <v>286</v>
      </c>
      <c r="E472" s="24" t="s">
        <v>65</v>
      </c>
      <c r="F472" s="13"/>
      <c r="G472" s="13"/>
      <c r="H472" s="24">
        <v>7</v>
      </c>
      <c r="I472" s="66">
        <f t="shared" si="42"/>
        <v>7</v>
      </c>
      <c r="J472" s="15">
        <f t="shared" si="43"/>
        <v>4271.7838400000001</v>
      </c>
      <c r="K472" s="15">
        <f t="shared" si="44"/>
        <v>29902.48688</v>
      </c>
      <c r="L472" s="24">
        <v>52157</v>
      </c>
      <c r="M472" s="103"/>
      <c r="N472" s="13">
        <v>24.2</v>
      </c>
      <c r="O472" s="13">
        <v>27.1</v>
      </c>
      <c r="P472" s="13">
        <v>20</v>
      </c>
      <c r="Q472" s="16">
        <v>157.63040000000001</v>
      </c>
      <c r="R472" s="13"/>
    </row>
    <row r="473" spans="1:18" x14ac:dyDescent="0.25">
      <c r="A473" s="24">
        <v>25</v>
      </c>
      <c r="B473" s="25" t="s">
        <v>373</v>
      </c>
      <c r="C473" s="25" t="s">
        <v>392</v>
      </c>
      <c r="D473" s="24" t="s">
        <v>286</v>
      </c>
      <c r="E473" s="24" t="s">
        <v>65</v>
      </c>
      <c r="F473" s="13"/>
      <c r="G473" s="13"/>
      <c r="H473" s="24">
        <v>35</v>
      </c>
      <c r="I473" s="66">
        <f t="shared" si="42"/>
        <v>35</v>
      </c>
      <c r="J473" s="15">
        <f t="shared" si="43"/>
        <v>4271.7838400000001</v>
      </c>
      <c r="K473" s="15">
        <f t="shared" si="44"/>
        <v>149512.4344</v>
      </c>
      <c r="L473" s="24">
        <v>52157</v>
      </c>
      <c r="M473" s="103"/>
      <c r="N473" s="13">
        <v>24.2</v>
      </c>
      <c r="O473" s="13">
        <v>27.1</v>
      </c>
      <c r="P473" s="13">
        <v>20</v>
      </c>
      <c r="Q473" s="16">
        <v>157.63040000000001</v>
      </c>
      <c r="R473" s="13"/>
    </row>
    <row r="474" spans="1:18" x14ac:dyDescent="0.25">
      <c r="A474" s="24">
        <v>26</v>
      </c>
      <c r="B474" s="25" t="s">
        <v>373</v>
      </c>
      <c r="C474" s="25" t="s">
        <v>393</v>
      </c>
      <c r="D474" s="24" t="s">
        <v>286</v>
      </c>
      <c r="E474" s="24" t="s">
        <v>65</v>
      </c>
      <c r="F474" s="13"/>
      <c r="G474" s="13"/>
      <c r="H474" s="24">
        <v>2</v>
      </c>
      <c r="I474" s="66">
        <f t="shared" si="42"/>
        <v>2</v>
      </c>
      <c r="J474" s="15">
        <f t="shared" si="43"/>
        <v>4271.7838400000001</v>
      </c>
      <c r="K474" s="15">
        <f t="shared" si="44"/>
        <v>8543.5676800000001</v>
      </c>
      <c r="L474" s="24">
        <v>52157</v>
      </c>
      <c r="M474" s="103"/>
      <c r="N474" s="13">
        <v>24.2</v>
      </c>
      <c r="O474" s="13">
        <v>27.1</v>
      </c>
      <c r="P474" s="13">
        <v>20</v>
      </c>
      <c r="Q474" s="16">
        <v>157.63040000000001</v>
      </c>
      <c r="R474" s="13"/>
    </row>
    <row r="475" spans="1:18" x14ac:dyDescent="0.25">
      <c r="A475" s="24">
        <v>27</v>
      </c>
      <c r="B475" s="25" t="s">
        <v>373</v>
      </c>
      <c r="C475" s="25" t="s">
        <v>394</v>
      </c>
      <c r="D475" s="24" t="s">
        <v>286</v>
      </c>
      <c r="E475" s="24" t="s">
        <v>65</v>
      </c>
      <c r="F475" s="13"/>
      <c r="G475" s="13"/>
      <c r="H475" s="24">
        <v>4</v>
      </c>
      <c r="I475" s="66">
        <f t="shared" si="42"/>
        <v>4</v>
      </c>
      <c r="J475" s="15">
        <f t="shared" si="43"/>
        <v>4271.7838400000001</v>
      </c>
      <c r="K475" s="15">
        <f t="shared" si="44"/>
        <v>17087.13536</v>
      </c>
      <c r="L475" s="24">
        <v>52157</v>
      </c>
      <c r="M475" s="103"/>
      <c r="N475" s="13">
        <v>24.2</v>
      </c>
      <c r="O475" s="13">
        <v>27.1</v>
      </c>
      <c r="P475" s="13">
        <v>20</v>
      </c>
      <c r="Q475" s="16">
        <v>157.63040000000001</v>
      </c>
      <c r="R475" s="13"/>
    </row>
    <row r="476" spans="1:18" x14ac:dyDescent="0.25">
      <c r="A476" s="24">
        <v>28</v>
      </c>
      <c r="B476" s="25" t="s">
        <v>373</v>
      </c>
      <c r="C476" s="25" t="s">
        <v>287</v>
      </c>
      <c r="D476" s="24" t="s">
        <v>286</v>
      </c>
      <c r="E476" s="24" t="s">
        <v>65</v>
      </c>
      <c r="F476" s="13"/>
      <c r="G476" s="13"/>
      <c r="H476" s="24">
        <v>1</v>
      </c>
      <c r="I476" s="66">
        <f t="shared" si="42"/>
        <v>1</v>
      </c>
      <c r="J476" s="15">
        <f t="shared" si="43"/>
        <v>4271.7838400000001</v>
      </c>
      <c r="K476" s="15">
        <f t="shared" si="44"/>
        <v>4271.7838400000001</v>
      </c>
      <c r="L476" s="24">
        <v>52157</v>
      </c>
      <c r="M476" s="104"/>
      <c r="N476" s="13">
        <v>24.2</v>
      </c>
      <c r="O476" s="13">
        <v>27.1</v>
      </c>
      <c r="P476" s="13">
        <v>20</v>
      </c>
      <c r="Q476" s="16">
        <v>157.63040000000001</v>
      </c>
      <c r="R476" s="13"/>
    </row>
    <row r="477" spans="1:18" x14ac:dyDescent="0.25">
      <c r="A477" s="24">
        <v>29</v>
      </c>
      <c r="B477" s="25" t="s">
        <v>373</v>
      </c>
      <c r="C477" s="25" t="s">
        <v>395</v>
      </c>
      <c r="D477" s="24" t="s">
        <v>286</v>
      </c>
      <c r="E477" s="24" t="s">
        <v>65</v>
      </c>
      <c r="F477" s="13"/>
      <c r="G477" s="13"/>
      <c r="H477" s="24">
        <v>1</v>
      </c>
      <c r="I477" s="66">
        <f t="shared" si="42"/>
        <v>1</v>
      </c>
      <c r="J477" s="15">
        <f t="shared" si="43"/>
        <v>4271.7838400000001</v>
      </c>
      <c r="K477" s="15">
        <f t="shared" si="44"/>
        <v>4271.7838400000001</v>
      </c>
      <c r="L477" s="24">
        <v>52157</v>
      </c>
      <c r="M477" s="102" t="s">
        <v>698</v>
      </c>
      <c r="N477" s="13">
        <v>24.2</v>
      </c>
      <c r="O477" s="13">
        <v>27.1</v>
      </c>
      <c r="P477" s="13">
        <v>20</v>
      </c>
      <c r="Q477" s="16">
        <v>157.63040000000001</v>
      </c>
      <c r="R477" s="13"/>
    </row>
    <row r="478" spans="1:18" x14ac:dyDescent="0.25">
      <c r="A478" s="24">
        <v>30</v>
      </c>
      <c r="B478" s="25" t="s">
        <v>373</v>
      </c>
      <c r="C478" s="25" t="s">
        <v>396</v>
      </c>
      <c r="D478" s="24" t="s">
        <v>397</v>
      </c>
      <c r="E478" s="24" t="s">
        <v>65</v>
      </c>
      <c r="F478" s="13"/>
      <c r="G478" s="13"/>
      <c r="H478" s="24">
        <v>1</v>
      </c>
      <c r="I478" s="66">
        <f t="shared" si="42"/>
        <v>1</v>
      </c>
      <c r="J478" s="15">
        <f t="shared" si="43"/>
        <v>4271.7838400000001</v>
      </c>
      <c r="K478" s="15">
        <f t="shared" si="44"/>
        <v>4271.7838400000001</v>
      </c>
      <c r="L478" s="24">
        <v>52157</v>
      </c>
      <c r="M478" s="103"/>
      <c r="N478" s="13">
        <v>24.2</v>
      </c>
      <c r="O478" s="13">
        <v>27.1</v>
      </c>
      <c r="P478" s="13">
        <v>20</v>
      </c>
      <c r="Q478" s="16">
        <v>157.63040000000001</v>
      </c>
      <c r="R478" s="13"/>
    </row>
    <row r="479" spans="1:18" x14ac:dyDescent="0.25">
      <c r="A479" s="24">
        <v>31</v>
      </c>
      <c r="B479" s="25" t="s">
        <v>373</v>
      </c>
      <c r="C479" s="25" t="s">
        <v>287</v>
      </c>
      <c r="D479" s="24" t="s">
        <v>36</v>
      </c>
      <c r="E479" s="24" t="s">
        <v>65</v>
      </c>
      <c r="F479" s="13"/>
      <c r="G479" s="13"/>
      <c r="H479" s="24">
        <v>1</v>
      </c>
      <c r="I479" s="66">
        <f t="shared" si="42"/>
        <v>1</v>
      </c>
      <c r="J479" s="15">
        <f t="shared" si="43"/>
        <v>4271.7838400000001</v>
      </c>
      <c r="K479" s="15">
        <f t="shared" si="44"/>
        <v>4271.7838400000001</v>
      </c>
      <c r="L479" s="24">
        <v>52157</v>
      </c>
      <c r="M479" s="103"/>
      <c r="N479" s="13">
        <v>24.2</v>
      </c>
      <c r="O479" s="13">
        <v>27.1</v>
      </c>
      <c r="P479" s="13">
        <v>20</v>
      </c>
      <c r="Q479" s="16">
        <v>157.63040000000001</v>
      </c>
      <c r="R479" s="13"/>
    </row>
    <row r="480" spans="1:18" x14ac:dyDescent="0.25">
      <c r="A480" s="24">
        <v>32</v>
      </c>
      <c r="B480" s="25" t="s">
        <v>373</v>
      </c>
      <c r="C480" s="25" t="s">
        <v>398</v>
      </c>
      <c r="D480" s="24" t="s">
        <v>286</v>
      </c>
      <c r="E480" s="24" t="s">
        <v>65</v>
      </c>
      <c r="F480" s="13"/>
      <c r="G480" s="13"/>
      <c r="H480" s="24">
        <v>1</v>
      </c>
      <c r="I480" s="66">
        <f t="shared" si="42"/>
        <v>1</v>
      </c>
      <c r="J480" s="15">
        <f t="shared" si="43"/>
        <v>4271.7838400000001</v>
      </c>
      <c r="K480" s="15">
        <f t="shared" si="44"/>
        <v>4271.7838400000001</v>
      </c>
      <c r="L480" s="24">
        <v>52158</v>
      </c>
      <c r="M480" s="103"/>
      <c r="N480" s="13">
        <v>24.2</v>
      </c>
      <c r="O480" s="13">
        <v>27.1</v>
      </c>
      <c r="P480" s="13">
        <v>20</v>
      </c>
      <c r="Q480" s="16">
        <v>157.63040000000001</v>
      </c>
      <c r="R480" s="13"/>
    </row>
    <row r="481" spans="1:18" x14ac:dyDescent="0.25">
      <c r="A481" s="24">
        <v>33</v>
      </c>
      <c r="B481" s="25" t="s">
        <v>373</v>
      </c>
      <c r="C481" s="25" t="s">
        <v>399</v>
      </c>
      <c r="D481" s="24" t="s">
        <v>286</v>
      </c>
      <c r="E481" s="24" t="s">
        <v>65</v>
      </c>
      <c r="F481" s="13"/>
      <c r="G481" s="13"/>
      <c r="H481" s="24">
        <v>1</v>
      </c>
      <c r="I481" s="66">
        <f t="shared" si="42"/>
        <v>1</v>
      </c>
      <c r="J481" s="15">
        <f t="shared" si="43"/>
        <v>4271.7838400000001</v>
      </c>
      <c r="K481" s="15">
        <f t="shared" si="44"/>
        <v>4271.7838400000001</v>
      </c>
      <c r="L481" s="24">
        <v>52158</v>
      </c>
      <c r="M481" s="103"/>
      <c r="N481" s="13">
        <v>24.2</v>
      </c>
      <c r="O481" s="13">
        <v>27.1</v>
      </c>
      <c r="P481" s="13">
        <v>20</v>
      </c>
      <c r="Q481" s="16">
        <v>157.63040000000001</v>
      </c>
      <c r="R481" s="13"/>
    </row>
    <row r="482" spans="1:18" x14ac:dyDescent="0.25">
      <c r="A482" s="24">
        <v>34</v>
      </c>
      <c r="B482" s="25" t="s">
        <v>373</v>
      </c>
      <c r="C482" s="25" t="s">
        <v>400</v>
      </c>
      <c r="D482" s="24" t="s">
        <v>401</v>
      </c>
      <c r="E482" s="24" t="s">
        <v>65</v>
      </c>
      <c r="F482" s="13"/>
      <c r="G482" s="13"/>
      <c r="H482" s="24">
        <v>1</v>
      </c>
      <c r="I482" s="66">
        <f t="shared" si="42"/>
        <v>1</v>
      </c>
      <c r="J482" s="15">
        <f t="shared" si="43"/>
        <v>4271.7838400000001</v>
      </c>
      <c r="K482" s="15">
        <f t="shared" si="44"/>
        <v>4271.7838400000001</v>
      </c>
      <c r="L482" s="24">
        <v>52158</v>
      </c>
      <c r="M482" s="103"/>
      <c r="N482" s="13">
        <v>24.2</v>
      </c>
      <c r="O482" s="13">
        <v>27.1</v>
      </c>
      <c r="P482" s="13">
        <v>20</v>
      </c>
      <c r="Q482" s="16">
        <v>157.63040000000001</v>
      </c>
      <c r="R482" s="13"/>
    </row>
    <row r="483" spans="1:18" x14ac:dyDescent="0.25">
      <c r="A483" s="24">
        <v>35</v>
      </c>
      <c r="B483" s="25" t="s">
        <v>373</v>
      </c>
      <c r="C483" s="25" t="s">
        <v>285</v>
      </c>
      <c r="D483" s="24" t="s">
        <v>286</v>
      </c>
      <c r="E483" s="24" t="s">
        <v>65</v>
      </c>
      <c r="F483" s="13"/>
      <c r="G483" s="13"/>
      <c r="H483" s="24">
        <v>1</v>
      </c>
      <c r="I483" s="66">
        <f t="shared" si="42"/>
        <v>1</v>
      </c>
      <c r="J483" s="15">
        <f t="shared" si="43"/>
        <v>4271.7838400000001</v>
      </c>
      <c r="K483" s="15">
        <f t="shared" si="44"/>
        <v>4271.7838400000001</v>
      </c>
      <c r="L483" s="24">
        <v>52158</v>
      </c>
      <c r="M483" s="103"/>
      <c r="N483" s="13">
        <v>24.2</v>
      </c>
      <c r="O483" s="13">
        <v>27.1</v>
      </c>
      <c r="P483" s="13">
        <v>20</v>
      </c>
      <c r="Q483" s="16">
        <v>157.63040000000001</v>
      </c>
      <c r="R483" s="13"/>
    </row>
    <row r="484" spans="1:18" x14ac:dyDescent="0.25">
      <c r="A484" s="24">
        <v>36</v>
      </c>
      <c r="B484" s="25" t="s">
        <v>373</v>
      </c>
      <c r="C484" s="25" t="s">
        <v>291</v>
      </c>
      <c r="D484" s="24" t="s">
        <v>286</v>
      </c>
      <c r="E484" s="24" t="s">
        <v>65</v>
      </c>
      <c r="F484" s="13"/>
      <c r="G484" s="13"/>
      <c r="H484" s="24">
        <v>2</v>
      </c>
      <c r="I484" s="66">
        <f t="shared" si="42"/>
        <v>2</v>
      </c>
      <c r="J484" s="15">
        <f t="shared" si="43"/>
        <v>4271.7838400000001</v>
      </c>
      <c r="K484" s="15">
        <f t="shared" si="44"/>
        <v>8543.5676800000001</v>
      </c>
      <c r="L484" s="24">
        <v>52158</v>
      </c>
      <c r="M484" s="103"/>
      <c r="N484" s="13">
        <v>24.2</v>
      </c>
      <c r="O484" s="13">
        <v>27.1</v>
      </c>
      <c r="P484" s="13">
        <v>20</v>
      </c>
      <c r="Q484" s="16">
        <v>157.63040000000001</v>
      </c>
      <c r="R484" s="13"/>
    </row>
    <row r="485" spans="1:18" x14ac:dyDescent="0.25">
      <c r="A485" s="24">
        <v>37</v>
      </c>
      <c r="B485" s="25" t="s">
        <v>284</v>
      </c>
      <c r="C485" s="25" t="s">
        <v>288</v>
      </c>
      <c r="D485" s="24" t="s">
        <v>286</v>
      </c>
      <c r="E485" s="24" t="s">
        <v>65</v>
      </c>
      <c r="F485" s="13"/>
      <c r="G485" s="13"/>
      <c r="H485" s="24">
        <v>2</v>
      </c>
      <c r="I485" s="66">
        <f t="shared" si="42"/>
        <v>2</v>
      </c>
      <c r="J485" s="15">
        <f t="shared" si="43"/>
        <v>4271.7838400000001</v>
      </c>
      <c r="K485" s="15">
        <f t="shared" si="44"/>
        <v>8543.5676800000001</v>
      </c>
      <c r="L485" s="24">
        <v>52158</v>
      </c>
      <c r="M485" s="103"/>
      <c r="N485" s="13">
        <v>24.2</v>
      </c>
      <c r="O485" s="13">
        <v>27.1</v>
      </c>
      <c r="P485" s="13">
        <v>20</v>
      </c>
      <c r="Q485" s="16">
        <v>157.63040000000001</v>
      </c>
      <c r="R485" s="13"/>
    </row>
    <row r="486" spans="1:18" ht="21.75" customHeight="1" x14ac:dyDescent="0.25">
      <c r="A486" s="24">
        <v>38</v>
      </c>
      <c r="B486" s="25" t="s">
        <v>284</v>
      </c>
      <c r="C486" s="25" t="s">
        <v>287</v>
      </c>
      <c r="D486" s="24" t="s">
        <v>286</v>
      </c>
      <c r="E486" s="24" t="s">
        <v>65</v>
      </c>
      <c r="F486" s="13"/>
      <c r="G486" s="13"/>
      <c r="H486" s="24">
        <v>2</v>
      </c>
      <c r="I486" s="66">
        <f t="shared" si="42"/>
        <v>2</v>
      </c>
      <c r="J486" s="15">
        <f t="shared" si="43"/>
        <v>4271.7838400000001</v>
      </c>
      <c r="K486" s="15">
        <f t="shared" si="44"/>
        <v>8543.5676800000001</v>
      </c>
      <c r="L486" s="24">
        <v>52158</v>
      </c>
      <c r="M486" s="103"/>
      <c r="N486" s="13">
        <v>24.2</v>
      </c>
      <c r="O486" s="13">
        <v>27.1</v>
      </c>
      <c r="P486" s="13">
        <v>20</v>
      </c>
      <c r="Q486" s="16">
        <v>157.63040000000001</v>
      </c>
      <c r="R486" s="13"/>
    </row>
    <row r="487" spans="1:18" x14ac:dyDescent="0.25">
      <c r="A487" s="123" t="s">
        <v>5</v>
      </c>
      <c r="B487" s="123"/>
      <c r="C487" s="123"/>
      <c r="D487" s="123"/>
      <c r="E487" s="123"/>
      <c r="F487" s="123"/>
      <c r="G487" s="123"/>
      <c r="H487" s="123"/>
      <c r="I487" s="123"/>
      <c r="J487" s="123"/>
      <c r="K487" s="60">
        <f>SUM(K449:K486)</f>
        <v>2913356.5788800018</v>
      </c>
      <c r="L487" s="13"/>
      <c r="M487" s="103"/>
      <c r="N487" s="13"/>
      <c r="O487" s="13"/>
      <c r="P487" s="13"/>
      <c r="Q487" s="13"/>
      <c r="R487" s="13"/>
    </row>
    <row r="488" spans="1:18" x14ac:dyDescent="0.25">
      <c r="A488" s="123" t="s">
        <v>669</v>
      </c>
      <c r="B488" s="123"/>
      <c r="C488" s="123"/>
      <c r="D488" s="123"/>
      <c r="E488" s="123"/>
      <c r="F488" s="123"/>
      <c r="G488" s="123"/>
      <c r="H488" s="123"/>
      <c r="I488" s="123"/>
      <c r="J488" s="123"/>
      <c r="K488" s="15"/>
      <c r="L488" s="13"/>
      <c r="M488" s="104"/>
      <c r="N488" s="13"/>
      <c r="O488" s="13"/>
      <c r="P488" s="13"/>
      <c r="Q488" s="13"/>
      <c r="R488" s="13"/>
    </row>
    <row r="489" spans="1:18" x14ac:dyDescent="0.25">
      <c r="A489" s="63"/>
      <c r="B489" s="63"/>
      <c r="C489" s="63"/>
      <c r="D489" s="63"/>
      <c r="E489" s="63"/>
      <c r="F489" s="63"/>
      <c r="G489" s="63"/>
      <c r="H489" s="63"/>
      <c r="I489" s="69"/>
      <c r="J489" s="63"/>
      <c r="K489" s="59"/>
      <c r="L489" s="36"/>
      <c r="M489" s="36"/>
      <c r="N489" s="36"/>
      <c r="O489" s="36"/>
      <c r="P489" s="36"/>
      <c r="Q489" s="36"/>
      <c r="R489" s="36"/>
    </row>
    <row r="491" spans="1:18" x14ac:dyDescent="0.25">
      <c r="A491" s="132" t="s">
        <v>294</v>
      </c>
      <c r="B491" s="132"/>
      <c r="C491" s="132"/>
      <c r="D491" s="132"/>
      <c r="E491" s="132"/>
      <c r="F491" s="132"/>
      <c r="G491" s="132"/>
      <c r="H491" s="132"/>
      <c r="I491" s="132"/>
      <c r="J491" s="132"/>
      <c r="K491" s="132"/>
      <c r="L491" s="137" t="s">
        <v>1</v>
      </c>
      <c r="M491" s="74"/>
      <c r="N491" s="1"/>
      <c r="O491" s="1"/>
      <c r="P491" s="1"/>
      <c r="Q491" s="1"/>
      <c r="R491" s="134" t="s">
        <v>2</v>
      </c>
    </row>
    <row r="492" spans="1:18" x14ac:dyDescent="0.25">
      <c r="A492" s="135" t="s">
        <v>402</v>
      </c>
      <c r="B492" s="135"/>
      <c r="C492" s="135"/>
      <c r="D492" s="135"/>
      <c r="E492" s="135"/>
      <c r="F492" s="135"/>
      <c r="G492" s="135"/>
      <c r="H492" s="135"/>
      <c r="I492" s="135"/>
      <c r="J492" s="75" t="s">
        <v>5</v>
      </c>
      <c r="K492" s="136" t="s">
        <v>6</v>
      </c>
      <c r="L492" s="137"/>
      <c r="M492" s="131" t="s">
        <v>7</v>
      </c>
      <c r="N492" s="138" t="s">
        <v>205</v>
      </c>
      <c r="O492" s="3"/>
      <c r="P492" s="3"/>
      <c r="Q492" s="4"/>
      <c r="R492" s="134"/>
    </row>
    <row r="493" spans="1:18" x14ac:dyDescent="0.25">
      <c r="A493" s="5"/>
      <c r="B493" s="142" t="s">
        <v>140</v>
      </c>
      <c r="C493" s="142"/>
      <c r="D493" s="142"/>
      <c r="E493" s="142"/>
      <c r="F493" s="143" t="s">
        <v>9</v>
      </c>
      <c r="G493" s="143"/>
      <c r="H493" s="143"/>
      <c r="I493" s="64"/>
      <c r="J493" s="136" t="s">
        <v>10</v>
      </c>
      <c r="K493" s="136"/>
      <c r="L493" s="137"/>
      <c r="M493" s="131"/>
      <c r="N493" s="138"/>
      <c r="O493" s="144" t="s">
        <v>11</v>
      </c>
      <c r="P493" s="131" t="s">
        <v>12</v>
      </c>
      <c r="Q493" s="131" t="s">
        <v>13</v>
      </c>
      <c r="R493" s="134"/>
    </row>
    <row r="494" spans="1:18" ht="26.25" x14ac:dyDescent="0.25">
      <c r="A494" s="5" t="s">
        <v>14</v>
      </c>
      <c r="B494" s="8" t="s">
        <v>15</v>
      </c>
      <c r="C494" s="8" t="s">
        <v>16</v>
      </c>
      <c r="D494" s="8" t="s">
        <v>17</v>
      </c>
      <c r="E494" s="9" t="s">
        <v>18</v>
      </c>
      <c r="F494" s="76" t="s">
        <v>19</v>
      </c>
      <c r="G494" s="77" t="s">
        <v>20</v>
      </c>
      <c r="H494" s="78" t="s">
        <v>21</v>
      </c>
      <c r="I494" s="65" t="s">
        <v>22</v>
      </c>
      <c r="J494" s="136"/>
      <c r="K494" s="136"/>
      <c r="L494" s="137"/>
      <c r="M494" s="131"/>
      <c r="N494" s="138"/>
      <c r="O494" s="144"/>
      <c r="P494" s="131"/>
      <c r="Q494" s="131"/>
      <c r="R494" s="134"/>
    </row>
    <row r="495" spans="1:18" ht="26.25" x14ac:dyDescent="0.25">
      <c r="A495" s="97">
        <v>1</v>
      </c>
      <c r="B495" s="98" t="s">
        <v>403</v>
      </c>
      <c r="C495" s="97" t="s">
        <v>148</v>
      </c>
      <c r="D495" s="97" t="s">
        <v>25</v>
      </c>
      <c r="E495" s="97" t="s">
        <v>26</v>
      </c>
      <c r="F495" s="81"/>
      <c r="G495" s="81"/>
      <c r="H495" s="97">
        <v>144</v>
      </c>
      <c r="I495" s="99">
        <f>SUM(F495:H495)</f>
        <v>144</v>
      </c>
      <c r="J495" s="100">
        <f>P495*R495</f>
        <v>2791.6343840000004</v>
      </c>
      <c r="K495" s="100">
        <f>J495*I495</f>
        <v>401995.35129600007</v>
      </c>
      <c r="L495" s="97">
        <v>52153</v>
      </c>
      <c r="M495" s="105" t="s">
        <v>683</v>
      </c>
      <c r="N495" s="13"/>
      <c r="O495" s="13">
        <v>15.82</v>
      </c>
      <c r="P495" s="13">
        <v>17.71</v>
      </c>
      <c r="Q495" s="13">
        <v>13.06</v>
      </c>
      <c r="R495" s="16">
        <v>157.63040000000001</v>
      </c>
    </row>
    <row r="496" spans="1:18" ht="26.25" x14ac:dyDescent="0.25">
      <c r="A496" s="97">
        <v>2</v>
      </c>
      <c r="B496" s="98" t="s">
        <v>404</v>
      </c>
      <c r="C496" s="97" t="s">
        <v>146</v>
      </c>
      <c r="D496" s="97" t="s">
        <v>31</v>
      </c>
      <c r="E496" s="97" t="s">
        <v>26</v>
      </c>
      <c r="F496" s="81"/>
      <c r="G496" s="81"/>
      <c r="H496" s="97">
        <v>5</v>
      </c>
      <c r="I496" s="99">
        <f t="shared" ref="I496:I515" si="45">SUM(F496:H496)</f>
        <v>5</v>
      </c>
      <c r="J496" s="100">
        <f t="shared" ref="J496:J508" si="46">P496*R496</f>
        <v>2648.1907200000001</v>
      </c>
      <c r="K496" s="100">
        <f t="shared" ref="K496:K508" si="47">J496*I496</f>
        <v>13240.953600000001</v>
      </c>
      <c r="L496" s="97">
        <v>52153</v>
      </c>
      <c r="M496" s="106"/>
      <c r="N496" s="13"/>
      <c r="O496" s="13">
        <v>15</v>
      </c>
      <c r="P496" s="13">
        <v>16.8</v>
      </c>
      <c r="Q496" s="13">
        <v>12.39</v>
      </c>
      <c r="R496" s="16">
        <v>157.63040000000001</v>
      </c>
    </row>
    <row r="497" spans="1:18" ht="26.25" x14ac:dyDescent="0.25">
      <c r="A497" s="97">
        <v>3</v>
      </c>
      <c r="B497" s="98" t="s">
        <v>405</v>
      </c>
      <c r="C497" s="97" t="s">
        <v>148</v>
      </c>
      <c r="D497" s="97" t="s">
        <v>25</v>
      </c>
      <c r="E497" s="97" t="s">
        <v>26</v>
      </c>
      <c r="F497" s="81"/>
      <c r="G497" s="81"/>
      <c r="H497" s="97">
        <v>3</v>
      </c>
      <c r="I497" s="99">
        <f t="shared" si="45"/>
        <v>3</v>
      </c>
      <c r="J497" s="100">
        <f t="shared" si="46"/>
        <v>2224.1649440000001</v>
      </c>
      <c r="K497" s="100">
        <f t="shared" si="47"/>
        <v>6672.4948320000003</v>
      </c>
      <c r="L497" s="97">
        <v>52153</v>
      </c>
      <c r="M497" s="106"/>
      <c r="N497" s="13"/>
      <c r="O497" s="13">
        <v>12.6</v>
      </c>
      <c r="P497" s="13">
        <v>14.11</v>
      </c>
      <c r="Q497" s="13">
        <v>10.4</v>
      </c>
      <c r="R497" s="16">
        <v>157.63040000000001</v>
      </c>
    </row>
    <row r="498" spans="1:18" ht="26.25" x14ac:dyDescent="0.25">
      <c r="A498" s="97">
        <v>4</v>
      </c>
      <c r="B498" s="98" t="s">
        <v>406</v>
      </c>
      <c r="C498" s="97" t="s">
        <v>146</v>
      </c>
      <c r="D498" s="97" t="s">
        <v>31</v>
      </c>
      <c r="E498" s="97" t="s">
        <v>26</v>
      </c>
      <c r="F498" s="81"/>
      <c r="G498" s="81"/>
      <c r="H498" s="97">
        <v>11</v>
      </c>
      <c r="I498" s="99">
        <f t="shared" si="45"/>
        <v>11</v>
      </c>
      <c r="J498" s="100">
        <f t="shared" si="46"/>
        <v>2471.6446719999999</v>
      </c>
      <c r="K498" s="100">
        <f t="shared" si="47"/>
        <v>27188.091391999998</v>
      </c>
      <c r="L498" s="97">
        <v>52153</v>
      </c>
      <c r="M498" s="106"/>
      <c r="N498" s="13"/>
      <c r="O498" s="13">
        <v>14</v>
      </c>
      <c r="P498" s="13">
        <v>15.68</v>
      </c>
      <c r="Q498" s="13">
        <v>11.56</v>
      </c>
      <c r="R498" s="16">
        <v>157.63040000000001</v>
      </c>
    </row>
    <row r="499" spans="1:18" x14ac:dyDescent="0.25">
      <c r="A499" s="97">
        <v>5</v>
      </c>
      <c r="B499" s="97" t="s">
        <v>158</v>
      </c>
      <c r="C499" s="97" t="s">
        <v>150</v>
      </c>
      <c r="D499" s="97" t="s">
        <v>25</v>
      </c>
      <c r="E499" s="97" t="s">
        <v>26</v>
      </c>
      <c r="F499" s="81"/>
      <c r="G499" s="81"/>
      <c r="H499" s="97">
        <v>1</v>
      </c>
      <c r="I499" s="99">
        <f t="shared" si="45"/>
        <v>1</v>
      </c>
      <c r="J499" s="100">
        <f t="shared" si="46"/>
        <v>2157.960176</v>
      </c>
      <c r="K499" s="100">
        <f t="shared" si="47"/>
        <v>2157.960176</v>
      </c>
      <c r="L499" s="97">
        <v>52153</v>
      </c>
      <c r="M499" s="106"/>
      <c r="N499" s="13"/>
      <c r="O499" s="13">
        <v>12.23</v>
      </c>
      <c r="P499" s="13">
        <v>13.69</v>
      </c>
      <c r="Q499" s="13">
        <v>10.09</v>
      </c>
      <c r="R499" s="16">
        <v>157.63040000000001</v>
      </c>
    </row>
    <row r="500" spans="1:18" x14ac:dyDescent="0.25">
      <c r="A500" s="97">
        <v>6</v>
      </c>
      <c r="B500" s="98" t="s">
        <v>157</v>
      </c>
      <c r="C500" s="97" t="s">
        <v>150</v>
      </c>
      <c r="D500" s="97" t="s">
        <v>25</v>
      </c>
      <c r="E500" s="97" t="s">
        <v>26</v>
      </c>
      <c r="F500" s="81"/>
      <c r="G500" s="81"/>
      <c r="H500" s="97">
        <v>2</v>
      </c>
      <c r="I500" s="99">
        <f t="shared" si="45"/>
        <v>2</v>
      </c>
      <c r="J500" s="100">
        <f t="shared" si="46"/>
        <v>2471.6446719999999</v>
      </c>
      <c r="K500" s="100">
        <f t="shared" si="47"/>
        <v>4943.2893439999998</v>
      </c>
      <c r="L500" s="97">
        <v>52154</v>
      </c>
      <c r="M500" s="106"/>
      <c r="N500" s="13"/>
      <c r="O500" s="13">
        <v>14</v>
      </c>
      <c r="P500" s="13">
        <v>15.68</v>
      </c>
      <c r="Q500" s="13">
        <v>11.56</v>
      </c>
      <c r="R500" s="16">
        <v>157.63040000000001</v>
      </c>
    </row>
    <row r="501" spans="1:18" x14ac:dyDescent="0.25">
      <c r="A501" s="97">
        <v>7</v>
      </c>
      <c r="B501" s="97" t="s">
        <v>407</v>
      </c>
      <c r="C501" s="97" t="s">
        <v>148</v>
      </c>
      <c r="D501" s="97" t="s">
        <v>25</v>
      </c>
      <c r="E501" s="97" t="s">
        <v>26</v>
      </c>
      <c r="F501" s="81"/>
      <c r="G501" s="81"/>
      <c r="H501" s="97">
        <v>3</v>
      </c>
      <c r="I501" s="99">
        <f t="shared" si="45"/>
        <v>3</v>
      </c>
      <c r="J501" s="100">
        <f t="shared" si="46"/>
        <v>2224.1649440000001</v>
      </c>
      <c r="K501" s="100">
        <f t="shared" si="47"/>
        <v>6672.4948320000003</v>
      </c>
      <c r="L501" s="97">
        <v>52154</v>
      </c>
      <c r="M501" s="106"/>
      <c r="N501" s="13"/>
      <c r="O501" s="13">
        <v>12.6</v>
      </c>
      <c r="P501" s="13">
        <v>14.11</v>
      </c>
      <c r="Q501" s="13">
        <v>10.4</v>
      </c>
      <c r="R501" s="16">
        <v>157.63040000000001</v>
      </c>
    </row>
    <row r="502" spans="1:18" x14ac:dyDescent="0.25">
      <c r="A502" s="97">
        <v>8</v>
      </c>
      <c r="B502" s="98" t="s">
        <v>408</v>
      </c>
      <c r="C502" s="97" t="s">
        <v>36</v>
      </c>
      <c r="D502" s="97" t="s">
        <v>36</v>
      </c>
      <c r="E502" s="97" t="s">
        <v>26</v>
      </c>
      <c r="F502" s="81"/>
      <c r="G502" s="81"/>
      <c r="H502" s="97">
        <v>2</v>
      </c>
      <c r="I502" s="99">
        <f t="shared" si="45"/>
        <v>2</v>
      </c>
      <c r="J502" s="100">
        <f t="shared" si="46"/>
        <v>2224.1649440000001</v>
      </c>
      <c r="K502" s="100">
        <f t="shared" si="47"/>
        <v>4448.3298880000002</v>
      </c>
      <c r="L502" s="97">
        <v>52154</v>
      </c>
      <c r="M502" s="106"/>
      <c r="N502" s="13"/>
      <c r="O502" s="13">
        <v>12.6</v>
      </c>
      <c r="P502" s="13">
        <v>14.11</v>
      </c>
      <c r="Q502" s="13">
        <v>10.4</v>
      </c>
      <c r="R502" s="16">
        <v>157.63040000000001</v>
      </c>
    </row>
    <row r="503" spans="1:18" x14ac:dyDescent="0.25">
      <c r="A503" s="97">
        <v>9</v>
      </c>
      <c r="B503" s="97" t="s">
        <v>165</v>
      </c>
      <c r="C503" s="97" t="s">
        <v>150</v>
      </c>
      <c r="D503" s="97" t="s">
        <v>25</v>
      </c>
      <c r="E503" s="97" t="s">
        <v>26</v>
      </c>
      <c r="F503" s="81"/>
      <c r="G503" s="81"/>
      <c r="H503" s="97">
        <v>2</v>
      </c>
      <c r="I503" s="99">
        <f t="shared" si="45"/>
        <v>2</v>
      </c>
      <c r="J503" s="100">
        <f t="shared" si="46"/>
        <v>2648.1907200000001</v>
      </c>
      <c r="K503" s="100">
        <f t="shared" si="47"/>
        <v>5296.3814400000001</v>
      </c>
      <c r="L503" s="97">
        <v>52154</v>
      </c>
      <c r="M503" s="106"/>
      <c r="N503" s="13"/>
      <c r="O503" s="13">
        <v>15</v>
      </c>
      <c r="P503" s="13">
        <v>16.8</v>
      </c>
      <c r="Q503" s="13">
        <v>12.39</v>
      </c>
      <c r="R503" s="16">
        <v>157.63040000000001</v>
      </c>
    </row>
    <row r="504" spans="1:18" ht="26.25" x14ac:dyDescent="0.25">
      <c r="A504" s="97">
        <v>10</v>
      </c>
      <c r="B504" s="98" t="s">
        <v>409</v>
      </c>
      <c r="C504" s="97" t="s">
        <v>410</v>
      </c>
      <c r="D504" s="97" t="s">
        <v>31</v>
      </c>
      <c r="E504" s="97" t="s">
        <v>26</v>
      </c>
      <c r="F504" s="81"/>
      <c r="G504" s="81"/>
      <c r="H504" s="97">
        <v>5</v>
      </c>
      <c r="I504" s="99">
        <f t="shared" si="45"/>
        <v>5</v>
      </c>
      <c r="J504" s="100">
        <f t="shared" si="46"/>
        <v>2224.1649440000001</v>
      </c>
      <c r="K504" s="100">
        <f t="shared" si="47"/>
        <v>11120.824720000001</v>
      </c>
      <c r="L504" s="97">
        <v>52154</v>
      </c>
      <c r="M504" s="106"/>
      <c r="N504" s="13"/>
      <c r="O504" s="13">
        <v>12.6</v>
      </c>
      <c r="P504" s="13">
        <v>14.11</v>
      </c>
      <c r="Q504" s="13">
        <v>10.4</v>
      </c>
      <c r="R504" s="16">
        <v>157.63040000000001</v>
      </c>
    </row>
    <row r="505" spans="1:18" ht="26.25" x14ac:dyDescent="0.25">
      <c r="A505" s="97">
        <v>11</v>
      </c>
      <c r="B505" s="98" t="s">
        <v>411</v>
      </c>
      <c r="C505" s="97" t="s">
        <v>412</v>
      </c>
      <c r="D505" s="97" t="s">
        <v>31</v>
      </c>
      <c r="E505" s="97" t="s">
        <v>26</v>
      </c>
      <c r="F505" s="81"/>
      <c r="G505" s="81"/>
      <c r="H505" s="97">
        <v>5</v>
      </c>
      <c r="I505" s="99">
        <f t="shared" si="45"/>
        <v>5</v>
      </c>
      <c r="J505" s="100">
        <f t="shared" si="46"/>
        <v>2224.1649440000001</v>
      </c>
      <c r="K505" s="100">
        <f t="shared" si="47"/>
        <v>11120.824720000001</v>
      </c>
      <c r="L505" s="97">
        <v>52154</v>
      </c>
      <c r="M505" s="106"/>
      <c r="N505" s="13"/>
      <c r="O505" s="13">
        <v>12.6</v>
      </c>
      <c r="P505" s="13">
        <v>14.11</v>
      </c>
      <c r="Q505" s="13">
        <v>10.4</v>
      </c>
      <c r="R505" s="16">
        <v>157.63040000000001</v>
      </c>
    </row>
    <row r="506" spans="1:18" ht="26.25" x14ac:dyDescent="0.25">
      <c r="A506" s="97">
        <v>12</v>
      </c>
      <c r="B506" s="98" t="s">
        <v>413</v>
      </c>
      <c r="C506" s="97" t="s">
        <v>414</v>
      </c>
      <c r="D506" s="97" t="s">
        <v>31</v>
      </c>
      <c r="E506" s="97" t="s">
        <v>26</v>
      </c>
      <c r="F506" s="81"/>
      <c r="G506" s="81"/>
      <c r="H506" s="97">
        <v>1</v>
      </c>
      <c r="I506" s="99">
        <f t="shared" si="45"/>
        <v>1</v>
      </c>
      <c r="J506" s="100">
        <f t="shared" si="46"/>
        <v>2224.1649440000001</v>
      </c>
      <c r="K506" s="100">
        <f t="shared" si="47"/>
        <v>2224.1649440000001</v>
      </c>
      <c r="L506" s="97">
        <v>52154</v>
      </c>
      <c r="M506" s="106"/>
      <c r="N506" s="13"/>
      <c r="O506" s="13">
        <v>12.6</v>
      </c>
      <c r="P506" s="13">
        <v>14.11</v>
      </c>
      <c r="Q506" s="13">
        <v>10.4</v>
      </c>
      <c r="R506" s="16">
        <v>157.63040000000001</v>
      </c>
    </row>
    <row r="507" spans="1:18" ht="26.25" x14ac:dyDescent="0.25">
      <c r="A507" s="97">
        <v>13</v>
      </c>
      <c r="B507" s="98" t="s">
        <v>415</v>
      </c>
      <c r="C507" s="97" t="s">
        <v>416</v>
      </c>
      <c r="D507" s="97" t="s">
        <v>31</v>
      </c>
      <c r="E507" s="97" t="s">
        <v>26</v>
      </c>
      <c r="F507" s="81"/>
      <c r="G507" s="81"/>
      <c r="H507" s="97">
        <v>2</v>
      </c>
      <c r="I507" s="99">
        <f t="shared" si="45"/>
        <v>2</v>
      </c>
      <c r="J507" s="100">
        <f t="shared" si="46"/>
        <v>2224.1649440000001</v>
      </c>
      <c r="K507" s="100">
        <f t="shared" si="47"/>
        <v>4448.3298880000002</v>
      </c>
      <c r="L507" s="97">
        <v>52154</v>
      </c>
      <c r="M507" s="106"/>
      <c r="N507" s="13"/>
      <c r="O507" s="13">
        <v>12.6</v>
      </c>
      <c r="P507" s="13">
        <v>14.11</v>
      </c>
      <c r="Q507" s="13">
        <v>10.4</v>
      </c>
      <c r="R507" s="16">
        <v>157.63040000000001</v>
      </c>
    </row>
    <row r="508" spans="1:18" x14ac:dyDescent="0.25">
      <c r="A508" s="97">
        <v>14</v>
      </c>
      <c r="B508" s="98" t="s">
        <v>417</v>
      </c>
      <c r="C508" s="97" t="s">
        <v>418</v>
      </c>
      <c r="D508" s="97" t="s">
        <v>31</v>
      </c>
      <c r="E508" s="97" t="s">
        <v>26</v>
      </c>
      <c r="F508" s="81"/>
      <c r="G508" s="81"/>
      <c r="H508" s="97">
        <v>1</v>
      </c>
      <c r="I508" s="99">
        <f t="shared" si="45"/>
        <v>1</v>
      </c>
      <c r="J508" s="100">
        <f t="shared" si="46"/>
        <v>2648.1907200000001</v>
      </c>
      <c r="K508" s="100">
        <f t="shared" si="47"/>
        <v>2648.1907200000001</v>
      </c>
      <c r="L508" s="97">
        <v>52155</v>
      </c>
      <c r="M508" s="106"/>
      <c r="N508" s="13"/>
      <c r="O508" s="13">
        <v>15</v>
      </c>
      <c r="P508" s="13">
        <v>16.8</v>
      </c>
      <c r="Q508" s="13">
        <v>12.39</v>
      </c>
      <c r="R508" s="16">
        <v>157.63040000000001</v>
      </c>
    </row>
    <row r="509" spans="1:18" x14ac:dyDescent="0.25">
      <c r="A509" s="97">
        <v>15</v>
      </c>
      <c r="B509" s="98" t="s">
        <v>419</v>
      </c>
      <c r="C509" s="97" t="s">
        <v>36</v>
      </c>
      <c r="D509" s="97" t="s">
        <v>31</v>
      </c>
      <c r="E509" s="97" t="s">
        <v>26</v>
      </c>
      <c r="F509" s="81"/>
      <c r="G509" s="81"/>
      <c r="H509" s="97">
        <v>3</v>
      </c>
      <c r="I509" s="99">
        <f t="shared" si="45"/>
        <v>3</v>
      </c>
      <c r="J509" s="100">
        <f>P509*R509</f>
        <v>264.81907200000001</v>
      </c>
      <c r="K509" s="100">
        <f>J509*I509</f>
        <v>794.45721600000002</v>
      </c>
      <c r="L509" s="97">
        <v>52155</v>
      </c>
      <c r="M509" s="106"/>
      <c r="N509" s="13"/>
      <c r="O509" s="34">
        <v>1.5</v>
      </c>
      <c r="P509" s="34">
        <v>1.68</v>
      </c>
      <c r="Q509" s="34">
        <v>1.02</v>
      </c>
      <c r="R509" s="16">
        <v>157.63040000000001</v>
      </c>
    </row>
    <row r="510" spans="1:18" x14ac:dyDescent="0.25">
      <c r="A510" s="97">
        <v>16</v>
      </c>
      <c r="B510" s="98" t="s">
        <v>420</v>
      </c>
      <c r="C510" s="97" t="s">
        <v>421</v>
      </c>
      <c r="D510" s="97" t="s">
        <v>31</v>
      </c>
      <c r="E510" s="97" t="s">
        <v>26</v>
      </c>
      <c r="F510" s="81"/>
      <c r="G510" s="81"/>
      <c r="H510" s="97">
        <v>2</v>
      </c>
      <c r="I510" s="99">
        <f t="shared" si="45"/>
        <v>2</v>
      </c>
      <c r="J510" s="100">
        <f t="shared" ref="J510:J515" si="48">P510*R510</f>
        <v>784.99939200000006</v>
      </c>
      <c r="K510" s="100">
        <f t="shared" ref="K510:K515" si="49">J510*I510</f>
        <v>1569.9987840000001</v>
      </c>
      <c r="L510" s="97">
        <v>52155</v>
      </c>
      <c r="M510" s="106"/>
      <c r="N510" s="13"/>
      <c r="O510" s="13">
        <v>4.45</v>
      </c>
      <c r="P510" s="13">
        <v>4.9800000000000004</v>
      </c>
      <c r="Q510" s="13">
        <v>3.67</v>
      </c>
      <c r="R510" s="16">
        <v>157.63040000000001</v>
      </c>
    </row>
    <row r="511" spans="1:18" x14ac:dyDescent="0.25">
      <c r="A511" s="97">
        <v>17</v>
      </c>
      <c r="B511" s="98" t="s">
        <v>422</v>
      </c>
      <c r="C511" s="97" t="s">
        <v>423</v>
      </c>
      <c r="D511" s="97" t="s">
        <v>31</v>
      </c>
      <c r="E511" s="97" t="s">
        <v>26</v>
      </c>
      <c r="F511" s="81"/>
      <c r="G511" s="81"/>
      <c r="H511" s="97">
        <v>4</v>
      </c>
      <c r="I511" s="99">
        <f t="shared" si="45"/>
        <v>4</v>
      </c>
      <c r="J511" s="100">
        <f t="shared" si="48"/>
        <v>264.81907200000001</v>
      </c>
      <c r="K511" s="100">
        <f t="shared" si="49"/>
        <v>1059.276288</v>
      </c>
      <c r="L511" s="97">
        <v>52155</v>
      </c>
      <c r="M511" s="106"/>
      <c r="N511" s="13"/>
      <c r="O511" s="34">
        <v>1.5</v>
      </c>
      <c r="P511" s="34">
        <v>1.68</v>
      </c>
      <c r="Q511" s="34">
        <v>1.02</v>
      </c>
      <c r="R511" s="16">
        <v>157.63040000000001</v>
      </c>
    </row>
    <row r="512" spans="1:18" x14ac:dyDescent="0.25">
      <c r="A512" s="97">
        <v>18</v>
      </c>
      <c r="B512" s="98" t="s">
        <v>424</v>
      </c>
      <c r="C512" s="97" t="s">
        <v>423</v>
      </c>
      <c r="D512" s="97" t="s">
        <v>31</v>
      </c>
      <c r="E512" s="97" t="s">
        <v>26</v>
      </c>
      <c r="F512" s="81"/>
      <c r="G512" s="81"/>
      <c r="H512" s="97">
        <v>1</v>
      </c>
      <c r="I512" s="99">
        <f t="shared" si="45"/>
        <v>1</v>
      </c>
      <c r="J512" s="100">
        <f t="shared" si="48"/>
        <v>264.81907200000001</v>
      </c>
      <c r="K512" s="100">
        <f t="shared" si="49"/>
        <v>264.81907200000001</v>
      </c>
      <c r="L512" s="97">
        <v>52155</v>
      </c>
      <c r="M512" s="106"/>
      <c r="N512" s="13"/>
      <c r="O512" s="34">
        <v>1.5</v>
      </c>
      <c r="P512" s="34">
        <v>1.68</v>
      </c>
      <c r="Q512" s="34">
        <v>1.02</v>
      </c>
      <c r="R512" s="16">
        <v>157.63040000000001</v>
      </c>
    </row>
    <row r="513" spans="1:18" x14ac:dyDescent="0.25">
      <c r="A513" s="97">
        <v>19</v>
      </c>
      <c r="B513" s="98" t="s">
        <v>425</v>
      </c>
      <c r="C513" s="97" t="s">
        <v>423</v>
      </c>
      <c r="D513" s="97" t="s">
        <v>31</v>
      </c>
      <c r="E513" s="97" t="s">
        <v>26</v>
      </c>
      <c r="F513" s="81"/>
      <c r="G513" s="81"/>
      <c r="H513" s="97">
        <v>1</v>
      </c>
      <c r="I513" s="99">
        <f t="shared" si="45"/>
        <v>1</v>
      </c>
      <c r="J513" s="100">
        <f t="shared" si="48"/>
        <v>264.81907200000001</v>
      </c>
      <c r="K513" s="100">
        <f t="shared" si="49"/>
        <v>264.81907200000001</v>
      </c>
      <c r="L513" s="97">
        <v>52155</v>
      </c>
      <c r="M513" s="106"/>
      <c r="N513" s="13"/>
      <c r="O513" s="34">
        <v>1.5</v>
      </c>
      <c r="P513" s="34">
        <v>1.68</v>
      </c>
      <c r="Q513" s="34">
        <v>1.02</v>
      </c>
      <c r="R513" s="16">
        <v>157.63040000000001</v>
      </c>
    </row>
    <row r="514" spans="1:18" x14ac:dyDescent="0.25">
      <c r="A514" s="97">
        <v>20</v>
      </c>
      <c r="B514" s="98" t="s">
        <v>426</v>
      </c>
      <c r="C514" s="97" t="s">
        <v>423</v>
      </c>
      <c r="D514" s="97" t="s">
        <v>31</v>
      </c>
      <c r="E514" s="97" t="s">
        <v>26</v>
      </c>
      <c r="F514" s="81"/>
      <c r="G514" s="81"/>
      <c r="H514" s="97">
        <v>1</v>
      </c>
      <c r="I514" s="99">
        <f t="shared" si="45"/>
        <v>1</v>
      </c>
      <c r="J514" s="100">
        <f t="shared" si="48"/>
        <v>264.81907200000001</v>
      </c>
      <c r="K514" s="100">
        <f t="shared" si="49"/>
        <v>264.81907200000001</v>
      </c>
      <c r="L514" s="97">
        <v>52155</v>
      </c>
      <c r="M514" s="106"/>
      <c r="N514" s="13"/>
      <c r="O514" s="34">
        <v>1.5</v>
      </c>
      <c r="P514" s="34">
        <v>1.68</v>
      </c>
      <c r="Q514" s="34">
        <v>1.02</v>
      </c>
      <c r="R514" s="16">
        <v>157.63040000000001</v>
      </c>
    </row>
    <row r="515" spans="1:18" x14ac:dyDescent="0.25">
      <c r="A515" s="97">
        <v>21</v>
      </c>
      <c r="B515" s="98" t="s">
        <v>427</v>
      </c>
      <c r="C515" s="97" t="s">
        <v>428</v>
      </c>
      <c r="D515" s="97" t="s">
        <v>36</v>
      </c>
      <c r="E515" s="97" t="s">
        <v>26</v>
      </c>
      <c r="F515" s="81"/>
      <c r="G515" s="81"/>
      <c r="H515" s="97">
        <v>1</v>
      </c>
      <c r="I515" s="99">
        <f t="shared" si="45"/>
        <v>1</v>
      </c>
      <c r="J515" s="100">
        <f t="shared" si="48"/>
        <v>2295.0986240000002</v>
      </c>
      <c r="K515" s="100">
        <f t="shared" si="49"/>
        <v>2295.0986240000002</v>
      </c>
      <c r="L515" s="97">
        <v>52155</v>
      </c>
      <c r="M515" s="106"/>
      <c r="N515" s="13"/>
      <c r="O515" s="13">
        <v>13</v>
      </c>
      <c r="P515" s="13">
        <v>14.56</v>
      </c>
      <c r="Q515" s="13">
        <v>10.74</v>
      </c>
      <c r="R515" s="16">
        <v>157.63040000000001</v>
      </c>
    </row>
    <row r="516" spans="1:18" x14ac:dyDescent="0.25">
      <c r="A516" s="133" t="s">
        <v>5</v>
      </c>
      <c r="B516" s="133"/>
      <c r="C516" s="133"/>
      <c r="D516" s="133"/>
      <c r="E516" s="133"/>
      <c r="F516" s="133"/>
      <c r="G516" s="133"/>
      <c r="H516" s="133"/>
      <c r="I516" s="133"/>
      <c r="J516" s="133"/>
      <c r="K516" s="101">
        <f>SUM(K495:K515)</f>
        <v>510690.96991999994</v>
      </c>
      <c r="L516" s="81"/>
      <c r="M516" s="106"/>
      <c r="N516" s="13"/>
      <c r="O516" s="13"/>
      <c r="P516" s="13"/>
      <c r="Q516" s="13"/>
      <c r="R516" s="13"/>
    </row>
    <row r="517" spans="1:18" x14ac:dyDescent="0.25">
      <c r="A517" s="133" t="s">
        <v>669</v>
      </c>
      <c r="B517" s="133"/>
      <c r="C517" s="133"/>
      <c r="D517" s="133"/>
      <c r="E517" s="133"/>
      <c r="F517" s="133"/>
      <c r="G517" s="133"/>
      <c r="H517" s="133"/>
      <c r="I517" s="133"/>
      <c r="J517" s="133"/>
      <c r="K517" s="100"/>
      <c r="L517" s="81"/>
      <c r="M517" s="107"/>
      <c r="N517" s="13"/>
      <c r="O517" s="13"/>
      <c r="P517" s="13"/>
      <c r="Q517" s="13"/>
      <c r="R517" s="13"/>
    </row>
    <row r="519" spans="1:18" x14ac:dyDescent="0.25">
      <c r="A519" s="132" t="s">
        <v>294</v>
      </c>
      <c r="B519" s="132"/>
      <c r="C519" s="132"/>
      <c r="D519" s="132"/>
      <c r="E519" s="132"/>
      <c r="F519" s="132"/>
      <c r="G519" s="132"/>
      <c r="H519" s="132"/>
      <c r="I519" s="132"/>
      <c r="J519" s="132"/>
      <c r="K519" s="132"/>
      <c r="L519" s="137" t="s">
        <v>1</v>
      </c>
      <c r="M519" s="1"/>
      <c r="N519" s="1"/>
      <c r="O519" s="1"/>
      <c r="P519" s="1"/>
      <c r="Q519" s="134" t="s">
        <v>2</v>
      </c>
    </row>
    <row r="520" spans="1:18" x14ac:dyDescent="0.25">
      <c r="A520" s="135" t="s">
        <v>429</v>
      </c>
      <c r="B520" s="135"/>
      <c r="C520" s="135"/>
      <c r="D520" s="135"/>
      <c r="E520" s="135"/>
      <c r="F520" s="135"/>
      <c r="G520" s="135"/>
      <c r="H520" s="135"/>
      <c r="I520" s="135"/>
      <c r="J520" s="2" t="s">
        <v>5</v>
      </c>
      <c r="K520" s="136" t="s">
        <v>6</v>
      </c>
      <c r="L520" s="137"/>
      <c r="M520" s="131" t="s">
        <v>7</v>
      </c>
      <c r="N520" s="3"/>
      <c r="O520" s="3"/>
      <c r="P520" s="4"/>
      <c r="Q520" s="134"/>
    </row>
    <row r="521" spans="1:18" x14ac:dyDescent="0.25">
      <c r="A521" s="5"/>
      <c r="B521" s="142" t="s">
        <v>140</v>
      </c>
      <c r="C521" s="142"/>
      <c r="D521" s="142"/>
      <c r="E521" s="142"/>
      <c r="F521" s="143" t="s">
        <v>9</v>
      </c>
      <c r="G521" s="143"/>
      <c r="H521" s="143"/>
      <c r="I521" s="64"/>
      <c r="J521" s="136" t="s">
        <v>10</v>
      </c>
      <c r="K521" s="136"/>
      <c r="L521" s="137"/>
      <c r="M521" s="131"/>
      <c r="N521" s="144" t="s">
        <v>11</v>
      </c>
      <c r="O521" s="131" t="s">
        <v>12</v>
      </c>
      <c r="P521" s="131" t="s">
        <v>13</v>
      </c>
      <c r="Q521" s="134"/>
    </row>
    <row r="522" spans="1:18" ht="26.25" x14ac:dyDescent="0.25">
      <c r="A522" s="5" t="s">
        <v>14</v>
      </c>
      <c r="B522" s="8" t="s">
        <v>15</v>
      </c>
      <c r="C522" s="8" t="s">
        <v>16</v>
      </c>
      <c r="D522" s="8" t="s">
        <v>17</v>
      </c>
      <c r="E522" s="9" t="s">
        <v>18</v>
      </c>
      <c r="F522" s="10" t="s">
        <v>19</v>
      </c>
      <c r="G522" s="11" t="s">
        <v>20</v>
      </c>
      <c r="H522" s="12" t="s">
        <v>21</v>
      </c>
      <c r="I522" s="65" t="s">
        <v>22</v>
      </c>
      <c r="J522" s="136"/>
      <c r="K522" s="136"/>
      <c r="L522" s="137"/>
      <c r="M522" s="131"/>
      <c r="N522" s="144"/>
      <c r="O522" s="131"/>
      <c r="P522" s="131"/>
      <c r="Q522" s="134"/>
    </row>
    <row r="523" spans="1:18" x14ac:dyDescent="0.25">
      <c r="A523" s="33">
        <v>1</v>
      </c>
      <c r="B523" s="33" t="s">
        <v>430</v>
      </c>
      <c r="C523" s="33" t="s">
        <v>182</v>
      </c>
      <c r="D523" s="33" t="s">
        <v>31</v>
      </c>
      <c r="E523" s="33" t="s">
        <v>26</v>
      </c>
      <c r="F523" s="13"/>
      <c r="G523" s="13"/>
      <c r="H523" s="33">
        <v>71</v>
      </c>
      <c r="I523" s="66">
        <f>SUM(F523:H523)</f>
        <v>71</v>
      </c>
      <c r="J523" s="15">
        <f>O523*Q523</f>
        <v>846.47524800000008</v>
      </c>
      <c r="K523" s="15">
        <f>J523*I523</f>
        <v>60099.742608000008</v>
      </c>
      <c r="L523" s="33">
        <v>52050</v>
      </c>
      <c r="M523" s="102" t="s">
        <v>684</v>
      </c>
      <c r="N523" s="13">
        <v>4.8</v>
      </c>
      <c r="O523" s="13">
        <v>5.37</v>
      </c>
      <c r="P523" s="13">
        <v>3.96</v>
      </c>
      <c r="Q523" s="16">
        <v>157.63040000000001</v>
      </c>
    </row>
    <row r="524" spans="1:18" x14ac:dyDescent="0.25">
      <c r="A524" s="33">
        <v>2</v>
      </c>
      <c r="B524" s="33" t="s">
        <v>430</v>
      </c>
      <c r="C524" s="33" t="s">
        <v>184</v>
      </c>
      <c r="D524" s="33" t="s">
        <v>31</v>
      </c>
      <c r="E524" s="33" t="s">
        <v>26</v>
      </c>
      <c r="F524" s="13"/>
      <c r="G524" s="13"/>
      <c r="H524" s="33">
        <v>1</v>
      </c>
      <c r="I524" s="66">
        <f t="shared" ref="I524:I532" si="50">SUM(F524:H524)</f>
        <v>1</v>
      </c>
      <c r="J524" s="15">
        <f t="shared" ref="J524:J532" si="51">O524*Q524</f>
        <v>846.47524800000008</v>
      </c>
      <c r="K524" s="15">
        <f t="shared" ref="K524:K532" si="52">J524*I524</f>
        <v>846.47524800000008</v>
      </c>
      <c r="L524" s="33">
        <v>52050</v>
      </c>
      <c r="M524" s="103"/>
      <c r="N524" s="13">
        <v>4.8</v>
      </c>
      <c r="O524" s="13">
        <v>5.37</v>
      </c>
      <c r="P524" s="13">
        <v>3.96</v>
      </c>
      <c r="Q524" s="16">
        <v>157.63040000000001</v>
      </c>
    </row>
    <row r="525" spans="1:18" x14ac:dyDescent="0.25">
      <c r="A525" s="33">
        <v>3</v>
      </c>
      <c r="B525" s="33" t="s">
        <v>430</v>
      </c>
      <c r="C525" s="33" t="s">
        <v>183</v>
      </c>
      <c r="D525" s="33" t="s">
        <v>31</v>
      </c>
      <c r="E525" s="33" t="s">
        <v>26</v>
      </c>
      <c r="F525" s="13"/>
      <c r="G525" s="13"/>
      <c r="H525" s="33">
        <v>2</v>
      </c>
      <c r="I525" s="66">
        <f t="shared" si="50"/>
        <v>2</v>
      </c>
      <c r="J525" s="15">
        <f t="shared" si="51"/>
        <v>846.47524800000008</v>
      </c>
      <c r="K525" s="15">
        <f t="shared" si="52"/>
        <v>1692.9504960000002</v>
      </c>
      <c r="L525" s="33">
        <v>52050</v>
      </c>
      <c r="M525" s="103"/>
      <c r="N525" s="13">
        <v>4.8</v>
      </c>
      <c r="O525" s="13">
        <v>5.37</v>
      </c>
      <c r="P525" s="13">
        <v>3.96</v>
      </c>
      <c r="Q525" s="16">
        <v>157.63040000000001</v>
      </c>
    </row>
    <row r="526" spans="1:18" x14ac:dyDescent="0.25">
      <c r="A526" s="33">
        <v>4</v>
      </c>
      <c r="B526" s="33" t="s">
        <v>430</v>
      </c>
      <c r="C526" s="33" t="s">
        <v>36</v>
      </c>
      <c r="D526" s="33" t="s">
        <v>31</v>
      </c>
      <c r="E526" s="33" t="s">
        <v>26</v>
      </c>
      <c r="F526" s="13"/>
      <c r="G526" s="13"/>
      <c r="H526" s="33">
        <v>2</v>
      </c>
      <c r="I526" s="66">
        <f t="shared" si="50"/>
        <v>2</v>
      </c>
      <c r="J526" s="15">
        <f t="shared" si="51"/>
        <v>846.47524800000008</v>
      </c>
      <c r="K526" s="15">
        <f t="shared" si="52"/>
        <v>1692.9504960000002</v>
      </c>
      <c r="L526" s="33">
        <v>52050</v>
      </c>
      <c r="M526" s="103"/>
      <c r="N526" s="13">
        <v>4.8</v>
      </c>
      <c r="O526" s="13">
        <v>5.37</v>
      </c>
      <c r="P526" s="13">
        <v>3.96</v>
      </c>
      <c r="Q526" s="16">
        <v>157.63040000000001</v>
      </c>
    </row>
    <row r="527" spans="1:18" x14ac:dyDescent="0.25">
      <c r="A527" s="33">
        <v>5</v>
      </c>
      <c r="B527" s="33" t="s">
        <v>431</v>
      </c>
      <c r="C527" s="33" t="s">
        <v>183</v>
      </c>
      <c r="D527" s="33" t="s">
        <v>36</v>
      </c>
      <c r="E527" s="33" t="s">
        <v>26</v>
      </c>
      <c r="F527" s="13"/>
      <c r="G527" s="13"/>
      <c r="H527" s="33">
        <v>1</v>
      </c>
      <c r="I527" s="66">
        <f t="shared" si="50"/>
        <v>1</v>
      </c>
      <c r="J527" s="15">
        <f t="shared" si="51"/>
        <v>846.47524800000008</v>
      </c>
      <c r="K527" s="15">
        <f t="shared" si="52"/>
        <v>846.47524800000008</v>
      </c>
      <c r="L527" s="33">
        <v>52050</v>
      </c>
      <c r="M527" s="103"/>
      <c r="N527" s="13">
        <v>4.8</v>
      </c>
      <c r="O527" s="13">
        <v>5.37</v>
      </c>
      <c r="P527" s="13">
        <v>3.96</v>
      </c>
      <c r="Q527" s="16">
        <v>157.63040000000001</v>
      </c>
    </row>
    <row r="528" spans="1:18" x14ac:dyDescent="0.25">
      <c r="A528" s="33">
        <v>6</v>
      </c>
      <c r="B528" s="33" t="s">
        <v>432</v>
      </c>
      <c r="C528" s="33" t="s">
        <v>189</v>
      </c>
      <c r="D528" s="33" t="s">
        <v>34</v>
      </c>
      <c r="E528" s="33" t="s">
        <v>84</v>
      </c>
      <c r="F528" s="13"/>
      <c r="G528" s="13"/>
      <c r="H528" s="33">
        <v>8</v>
      </c>
      <c r="I528" s="66">
        <f t="shared" si="50"/>
        <v>8</v>
      </c>
      <c r="J528" s="15">
        <f t="shared" si="51"/>
        <v>1402.91056</v>
      </c>
      <c r="K528" s="15">
        <f t="shared" si="52"/>
        <v>11223.28448</v>
      </c>
      <c r="L528" s="33">
        <v>52050</v>
      </c>
      <c r="M528" s="103"/>
      <c r="N528" s="13">
        <v>7.95</v>
      </c>
      <c r="O528" s="13">
        <v>8.9</v>
      </c>
      <c r="P528" s="13">
        <v>6.56</v>
      </c>
      <c r="Q528" s="16">
        <v>157.63040000000001</v>
      </c>
    </row>
    <row r="529" spans="1:18" x14ac:dyDescent="0.25">
      <c r="A529" s="33">
        <v>7</v>
      </c>
      <c r="B529" s="33" t="s">
        <v>433</v>
      </c>
      <c r="C529" s="33" t="s">
        <v>434</v>
      </c>
      <c r="D529" s="33" t="s">
        <v>34</v>
      </c>
      <c r="E529" s="33" t="s">
        <v>84</v>
      </c>
      <c r="F529" s="13"/>
      <c r="G529" s="13"/>
      <c r="H529" s="33">
        <v>6</v>
      </c>
      <c r="I529" s="66">
        <f t="shared" si="50"/>
        <v>6</v>
      </c>
      <c r="J529" s="15">
        <f t="shared" si="51"/>
        <v>3177.8288640000001</v>
      </c>
      <c r="K529" s="15">
        <f t="shared" si="52"/>
        <v>19066.973184000002</v>
      </c>
      <c r="L529" s="33">
        <v>52050</v>
      </c>
      <c r="M529" s="103"/>
      <c r="N529" s="13">
        <v>18</v>
      </c>
      <c r="O529" s="13">
        <v>20.16</v>
      </c>
      <c r="P529" s="13">
        <v>14.87</v>
      </c>
      <c r="Q529" s="16">
        <v>157.63040000000001</v>
      </c>
    </row>
    <row r="530" spans="1:18" x14ac:dyDescent="0.25">
      <c r="A530" s="33">
        <v>8</v>
      </c>
      <c r="B530" s="33" t="s">
        <v>435</v>
      </c>
      <c r="C530" s="33" t="s">
        <v>434</v>
      </c>
      <c r="D530" s="33" t="s">
        <v>34</v>
      </c>
      <c r="E530" s="33" t="s">
        <v>26</v>
      </c>
      <c r="F530" s="13"/>
      <c r="G530" s="13"/>
      <c r="H530" s="33">
        <v>2</v>
      </c>
      <c r="I530" s="66">
        <f t="shared" si="50"/>
        <v>2</v>
      </c>
      <c r="J530" s="15">
        <f t="shared" si="51"/>
        <v>1059.276288</v>
      </c>
      <c r="K530" s="15">
        <f t="shared" si="52"/>
        <v>2118.552576</v>
      </c>
      <c r="L530" s="33">
        <v>52050</v>
      </c>
      <c r="M530" s="103"/>
      <c r="N530" s="13">
        <v>6</v>
      </c>
      <c r="O530" s="13">
        <v>6.72</v>
      </c>
      <c r="P530" s="13">
        <v>4.95</v>
      </c>
      <c r="Q530" s="16">
        <v>157.63040000000001</v>
      </c>
    </row>
    <row r="531" spans="1:18" x14ac:dyDescent="0.25">
      <c r="A531" s="33">
        <v>9</v>
      </c>
      <c r="B531" s="33" t="s">
        <v>193</v>
      </c>
      <c r="C531" s="33" t="s">
        <v>194</v>
      </c>
      <c r="D531" s="33" t="s">
        <v>31</v>
      </c>
      <c r="E531" s="33" t="s">
        <v>26</v>
      </c>
      <c r="F531" s="13"/>
      <c r="G531" s="13"/>
      <c r="H531" s="33">
        <v>3</v>
      </c>
      <c r="I531" s="66">
        <f t="shared" si="50"/>
        <v>3</v>
      </c>
      <c r="J531" s="15">
        <f t="shared" si="51"/>
        <v>1831.665248</v>
      </c>
      <c r="K531" s="15">
        <f t="shared" si="52"/>
        <v>5494.9957439999998</v>
      </c>
      <c r="L531" s="33">
        <v>52050</v>
      </c>
      <c r="M531" s="103"/>
      <c r="N531" s="13">
        <v>10.38</v>
      </c>
      <c r="O531" s="13">
        <v>11.62</v>
      </c>
      <c r="P531" s="13">
        <v>8.57</v>
      </c>
      <c r="Q531" s="16">
        <v>157.63040000000001</v>
      </c>
    </row>
    <row r="532" spans="1:18" x14ac:dyDescent="0.25">
      <c r="A532" s="33">
        <v>10</v>
      </c>
      <c r="B532" s="33" t="s">
        <v>436</v>
      </c>
      <c r="C532" s="33" t="s">
        <v>36</v>
      </c>
      <c r="D532" s="33" t="s">
        <v>36</v>
      </c>
      <c r="E532" s="33" t="s">
        <v>26</v>
      </c>
      <c r="F532" s="13"/>
      <c r="G532" s="13"/>
      <c r="H532" s="33">
        <v>7</v>
      </c>
      <c r="I532" s="66">
        <f t="shared" si="50"/>
        <v>7</v>
      </c>
      <c r="J532" s="15">
        <f t="shared" si="51"/>
        <v>5220.7188479999995</v>
      </c>
      <c r="K532" s="15">
        <f t="shared" si="52"/>
        <v>36545.031935999999</v>
      </c>
      <c r="L532" s="33">
        <v>52050</v>
      </c>
      <c r="M532" s="103"/>
      <c r="N532" s="13">
        <v>29.58</v>
      </c>
      <c r="O532" s="13">
        <v>33.119999999999997</v>
      </c>
      <c r="P532" s="13">
        <v>24.44</v>
      </c>
      <c r="Q532" s="16">
        <v>157.63040000000001</v>
      </c>
    </row>
    <row r="533" spans="1:18" x14ac:dyDescent="0.25">
      <c r="A533" s="123" t="s">
        <v>5</v>
      </c>
      <c r="B533" s="123"/>
      <c r="C533" s="123"/>
      <c r="D533" s="123"/>
      <c r="E533" s="123"/>
      <c r="F533" s="123"/>
      <c r="G533" s="123"/>
      <c r="H533" s="123"/>
      <c r="I533" s="123"/>
      <c r="J533" s="123"/>
      <c r="K533" s="60">
        <f>SUM(K523:K532)</f>
        <v>139627.43201600001</v>
      </c>
      <c r="L533" s="13"/>
      <c r="M533" s="103"/>
      <c r="N533" s="13"/>
      <c r="O533" s="13"/>
      <c r="P533" s="13"/>
      <c r="Q533" s="13"/>
      <c r="R533" s="13"/>
    </row>
    <row r="534" spans="1:18" x14ac:dyDescent="0.25">
      <c r="A534" s="123" t="s">
        <v>669</v>
      </c>
      <c r="B534" s="123"/>
      <c r="C534" s="123"/>
      <c r="D534" s="123"/>
      <c r="E534" s="123"/>
      <c r="F534" s="123"/>
      <c r="G534" s="123"/>
      <c r="H534" s="123"/>
      <c r="I534" s="123"/>
      <c r="J534" s="123"/>
      <c r="K534" s="15"/>
      <c r="L534" s="13"/>
      <c r="M534" s="104"/>
      <c r="N534" s="13"/>
      <c r="O534" s="13"/>
      <c r="P534" s="13"/>
      <c r="Q534" s="13"/>
      <c r="R534" s="13"/>
    </row>
    <row r="538" spans="1:18" x14ac:dyDescent="0.25">
      <c r="A538" s="132" t="s">
        <v>294</v>
      </c>
      <c r="B538" s="132"/>
      <c r="C538" s="132"/>
      <c r="D538" s="132"/>
      <c r="E538" s="132"/>
      <c r="F538" s="132"/>
      <c r="G538" s="132"/>
      <c r="H538" s="132"/>
      <c r="I538" s="132"/>
      <c r="J538" s="132"/>
      <c r="K538" s="132"/>
      <c r="L538" s="137" t="s">
        <v>1</v>
      </c>
      <c r="M538" s="1"/>
      <c r="N538" s="1"/>
      <c r="O538" s="1"/>
      <c r="P538" s="1"/>
      <c r="Q538" s="1"/>
      <c r="R538" s="134" t="s">
        <v>2</v>
      </c>
    </row>
    <row r="539" spans="1:18" x14ac:dyDescent="0.25">
      <c r="A539" s="135" t="s">
        <v>437</v>
      </c>
      <c r="B539" s="135"/>
      <c r="C539" s="135"/>
      <c r="D539" s="135"/>
      <c r="E539" s="135"/>
      <c r="F539" s="135"/>
      <c r="G539" s="135"/>
      <c r="H539" s="135"/>
      <c r="I539" s="135"/>
      <c r="J539" s="2" t="s">
        <v>5</v>
      </c>
      <c r="K539" s="136" t="s">
        <v>6</v>
      </c>
      <c r="L539" s="137"/>
      <c r="M539" s="138" t="s">
        <v>205</v>
      </c>
      <c r="N539" s="131" t="s">
        <v>7</v>
      </c>
      <c r="O539" s="3"/>
      <c r="P539" s="3"/>
      <c r="Q539" s="4"/>
      <c r="R539" s="134"/>
    </row>
    <row r="540" spans="1:18" x14ac:dyDescent="0.25">
      <c r="A540" s="5"/>
      <c r="B540" s="142" t="s">
        <v>140</v>
      </c>
      <c r="C540" s="142"/>
      <c r="D540" s="142"/>
      <c r="E540" s="142"/>
      <c r="F540" s="143" t="s">
        <v>9</v>
      </c>
      <c r="G540" s="143"/>
      <c r="H540" s="143"/>
      <c r="I540" s="64"/>
      <c r="J540" s="136" t="s">
        <v>254</v>
      </c>
      <c r="K540" s="136"/>
      <c r="L540" s="137"/>
      <c r="M540" s="138"/>
      <c r="N540" s="131"/>
      <c r="O540" s="144" t="s">
        <v>11</v>
      </c>
      <c r="P540" s="131" t="s">
        <v>12</v>
      </c>
      <c r="Q540" s="131" t="s">
        <v>13</v>
      </c>
      <c r="R540" s="134"/>
    </row>
    <row r="541" spans="1:18" ht="26.25" x14ac:dyDescent="0.25">
      <c r="A541" s="5" t="s">
        <v>14</v>
      </c>
      <c r="B541" s="8" t="s">
        <v>15</v>
      </c>
      <c r="C541" s="8" t="s">
        <v>16</v>
      </c>
      <c r="D541" s="8" t="s">
        <v>17</v>
      </c>
      <c r="E541" s="9" t="s">
        <v>18</v>
      </c>
      <c r="F541" s="10" t="s">
        <v>19</v>
      </c>
      <c r="G541" s="11" t="s">
        <v>20</v>
      </c>
      <c r="H541" s="12" t="s">
        <v>21</v>
      </c>
      <c r="I541" s="65" t="s">
        <v>22</v>
      </c>
      <c r="J541" s="136"/>
      <c r="K541" s="136"/>
      <c r="L541" s="137"/>
      <c r="M541" s="138"/>
      <c r="N541" s="131"/>
      <c r="O541" s="144"/>
      <c r="P541" s="131"/>
      <c r="Q541" s="131"/>
      <c r="R541" s="134"/>
    </row>
    <row r="542" spans="1:18" x14ac:dyDescent="0.25">
      <c r="A542" s="33">
        <v>1</v>
      </c>
      <c r="B542" s="33" t="s">
        <v>236</v>
      </c>
      <c r="C542" s="33" t="s">
        <v>438</v>
      </c>
      <c r="D542" s="33" t="s">
        <v>34</v>
      </c>
      <c r="E542" s="33" t="s">
        <v>238</v>
      </c>
      <c r="F542" s="13"/>
      <c r="G542" s="13"/>
      <c r="H542" s="33">
        <v>115</v>
      </c>
      <c r="I542" s="66">
        <f>SUM(F542:H542)</f>
        <v>115</v>
      </c>
      <c r="J542" s="15">
        <f>P542*R542</f>
        <v>343.63427200000007</v>
      </c>
      <c r="K542" s="15">
        <f>J542*I542</f>
        <v>39517.941280000006</v>
      </c>
      <c r="L542" s="33">
        <v>52152</v>
      </c>
      <c r="M542" s="35">
        <v>46935</v>
      </c>
      <c r="N542" s="102" t="s">
        <v>685</v>
      </c>
      <c r="O542" s="13">
        <v>1.95</v>
      </c>
      <c r="P542" s="19">
        <v>2.1800000000000002</v>
      </c>
      <c r="Q542" s="13">
        <v>0.76</v>
      </c>
      <c r="R542" s="16">
        <v>157.63040000000001</v>
      </c>
    </row>
    <row r="543" spans="1:18" x14ac:dyDescent="0.25">
      <c r="A543" s="33">
        <v>2</v>
      </c>
      <c r="B543" s="33" t="s">
        <v>439</v>
      </c>
      <c r="C543" s="33" t="s">
        <v>440</v>
      </c>
      <c r="D543" s="33" t="s">
        <v>441</v>
      </c>
      <c r="E543" s="33" t="s">
        <v>26</v>
      </c>
      <c r="F543" s="13"/>
      <c r="G543" s="13"/>
      <c r="H543" s="33">
        <v>3</v>
      </c>
      <c r="I543" s="66">
        <f t="shared" ref="I543:I548" si="53">SUM(F543:H543)</f>
        <v>3</v>
      </c>
      <c r="J543" s="15">
        <f>P543*R543</f>
        <v>329.44753600000001</v>
      </c>
      <c r="K543" s="15">
        <f t="shared" ref="K543:K548" si="54">J543*I543</f>
        <v>988.34260800000004</v>
      </c>
      <c r="L543" s="33">
        <v>52152</v>
      </c>
      <c r="M543" s="33" t="s">
        <v>442</v>
      </c>
      <c r="N543" s="103"/>
      <c r="O543" s="13">
        <v>1.87</v>
      </c>
      <c r="P543" s="19">
        <v>2.09</v>
      </c>
      <c r="Q543" s="13">
        <v>1.54</v>
      </c>
      <c r="R543" s="16">
        <v>157.63040000000001</v>
      </c>
    </row>
    <row r="544" spans="1:18" x14ac:dyDescent="0.25">
      <c r="A544" s="33">
        <v>3</v>
      </c>
      <c r="B544" s="33" t="s">
        <v>207</v>
      </c>
      <c r="C544" s="33" t="s">
        <v>443</v>
      </c>
      <c r="D544" s="33" t="s">
        <v>25</v>
      </c>
      <c r="E544" s="33" t="s">
        <v>26</v>
      </c>
      <c r="F544" s="13"/>
      <c r="G544" s="13"/>
      <c r="H544" s="33">
        <v>1</v>
      </c>
      <c r="I544" s="66">
        <f t="shared" si="53"/>
        <v>1</v>
      </c>
      <c r="J544" s="15">
        <f t="shared" ref="J544:J548" si="55">Q544*R544</f>
        <v>573.77465600000005</v>
      </c>
      <c r="K544" s="15">
        <f t="shared" si="54"/>
        <v>573.77465600000005</v>
      </c>
      <c r="L544" s="33">
        <v>52152</v>
      </c>
      <c r="M544" s="35">
        <v>47607</v>
      </c>
      <c r="N544" s="103"/>
      <c r="O544" s="13">
        <v>1.48</v>
      </c>
      <c r="P544" s="13">
        <v>1.65</v>
      </c>
      <c r="Q544" s="13">
        <v>3.64</v>
      </c>
      <c r="R544" s="16">
        <v>157.63040000000001</v>
      </c>
    </row>
    <row r="545" spans="1:18" x14ac:dyDescent="0.25">
      <c r="A545" s="33">
        <v>4</v>
      </c>
      <c r="B545" s="33" t="s">
        <v>210</v>
      </c>
      <c r="C545" s="33" t="s">
        <v>444</v>
      </c>
      <c r="D545" s="33" t="s">
        <v>209</v>
      </c>
      <c r="E545" s="33" t="s">
        <v>26</v>
      </c>
      <c r="F545" s="13"/>
      <c r="G545" s="13"/>
      <c r="H545" s="33">
        <v>2</v>
      </c>
      <c r="I545" s="66">
        <f t="shared" si="53"/>
        <v>2</v>
      </c>
      <c r="J545" s="15">
        <f t="shared" si="55"/>
        <v>1144.396704</v>
      </c>
      <c r="K545" s="15">
        <f t="shared" si="54"/>
        <v>2288.793408</v>
      </c>
      <c r="L545" s="33">
        <v>52152</v>
      </c>
      <c r="M545" s="35">
        <v>47490</v>
      </c>
      <c r="N545" s="103"/>
      <c r="O545" s="13">
        <v>2.95</v>
      </c>
      <c r="P545" s="13">
        <v>3.31</v>
      </c>
      <c r="Q545" s="13">
        <v>7.26</v>
      </c>
      <c r="R545" s="16">
        <v>157.63040000000001</v>
      </c>
    </row>
    <row r="546" spans="1:18" x14ac:dyDescent="0.25">
      <c r="A546" s="33">
        <v>5</v>
      </c>
      <c r="B546" s="33" t="s">
        <v>207</v>
      </c>
      <c r="C546" s="33" t="s">
        <v>445</v>
      </c>
      <c r="D546" s="33" t="s">
        <v>25</v>
      </c>
      <c r="E546" s="33" t="s">
        <v>26</v>
      </c>
      <c r="F546" s="13"/>
      <c r="G546" s="13"/>
      <c r="H546" s="33">
        <v>1</v>
      </c>
      <c r="I546" s="66">
        <f t="shared" si="53"/>
        <v>1</v>
      </c>
      <c r="J546" s="15">
        <f t="shared" si="55"/>
        <v>573.77465600000005</v>
      </c>
      <c r="K546" s="15">
        <f t="shared" si="54"/>
        <v>573.77465600000005</v>
      </c>
      <c r="L546" s="33">
        <v>52153</v>
      </c>
      <c r="M546" s="33"/>
      <c r="N546" s="103"/>
      <c r="O546" s="13">
        <v>1.48</v>
      </c>
      <c r="P546" s="13">
        <v>1.65</v>
      </c>
      <c r="Q546" s="13">
        <v>3.64</v>
      </c>
      <c r="R546" s="16">
        <v>157.63040000000001</v>
      </c>
    </row>
    <row r="547" spans="1:18" x14ac:dyDescent="0.25">
      <c r="A547" s="33">
        <v>6</v>
      </c>
      <c r="B547" s="33" t="s">
        <v>207</v>
      </c>
      <c r="C547" s="33" t="s">
        <v>446</v>
      </c>
      <c r="D547" s="33" t="s">
        <v>25</v>
      </c>
      <c r="E547" s="33" t="s">
        <v>26</v>
      </c>
      <c r="F547" s="13"/>
      <c r="G547" s="13"/>
      <c r="H547" s="33">
        <v>1</v>
      </c>
      <c r="I547" s="66">
        <f t="shared" si="53"/>
        <v>1</v>
      </c>
      <c r="J547" s="15">
        <f t="shared" si="55"/>
        <v>573.77465600000005</v>
      </c>
      <c r="K547" s="15">
        <f t="shared" si="54"/>
        <v>573.77465600000005</v>
      </c>
      <c r="L547" s="33">
        <v>52153</v>
      </c>
      <c r="M547" s="33"/>
      <c r="N547" s="103"/>
      <c r="O547" s="13">
        <v>1.48</v>
      </c>
      <c r="P547" s="13">
        <v>1.65</v>
      </c>
      <c r="Q547" s="13">
        <v>3.64</v>
      </c>
      <c r="R547" s="16">
        <v>157.63040000000001</v>
      </c>
    </row>
    <row r="548" spans="1:18" x14ac:dyDescent="0.25">
      <c r="A548" s="33">
        <v>7</v>
      </c>
      <c r="B548" s="33" t="s">
        <v>207</v>
      </c>
      <c r="C548" s="33" t="s">
        <v>447</v>
      </c>
      <c r="D548" s="33" t="s">
        <v>25</v>
      </c>
      <c r="E548" s="33" t="s">
        <v>26</v>
      </c>
      <c r="F548" s="13"/>
      <c r="G548" s="13"/>
      <c r="H548" s="33">
        <v>1</v>
      </c>
      <c r="I548" s="66">
        <f t="shared" si="53"/>
        <v>1</v>
      </c>
      <c r="J548" s="15">
        <f t="shared" si="55"/>
        <v>573.77465600000005</v>
      </c>
      <c r="K548" s="15">
        <f t="shared" si="54"/>
        <v>573.77465600000005</v>
      </c>
      <c r="L548" s="33">
        <v>52153</v>
      </c>
      <c r="M548" s="33" t="s">
        <v>448</v>
      </c>
      <c r="N548" s="103"/>
      <c r="O548" s="13">
        <v>1.48</v>
      </c>
      <c r="P548" s="13">
        <v>1.65</v>
      </c>
      <c r="Q548" s="13">
        <v>3.64</v>
      </c>
      <c r="R548" s="16">
        <v>157.63040000000001</v>
      </c>
    </row>
    <row r="549" spans="1:18" x14ac:dyDescent="0.25">
      <c r="A549" s="123" t="s">
        <v>5</v>
      </c>
      <c r="B549" s="123"/>
      <c r="C549" s="123"/>
      <c r="D549" s="123"/>
      <c r="E549" s="123"/>
      <c r="F549" s="123"/>
      <c r="G549" s="123"/>
      <c r="H549" s="123"/>
      <c r="I549" s="123"/>
      <c r="J549" s="123"/>
      <c r="K549" s="60">
        <f>SUM(K542:K548)</f>
        <v>45090.175920000009</v>
      </c>
      <c r="L549" s="13"/>
      <c r="M549" s="13"/>
      <c r="N549" s="103"/>
      <c r="O549" s="13"/>
      <c r="P549" s="13"/>
      <c r="Q549" s="13"/>
      <c r="R549" s="13"/>
    </row>
    <row r="550" spans="1:18" x14ac:dyDescent="0.25">
      <c r="A550" s="123" t="s">
        <v>669</v>
      </c>
      <c r="B550" s="123"/>
      <c r="C550" s="123"/>
      <c r="D550" s="123"/>
      <c r="E550" s="123"/>
      <c r="F550" s="123"/>
      <c r="G550" s="123"/>
      <c r="H550" s="123"/>
      <c r="I550" s="123"/>
      <c r="J550" s="123"/>
      <c r="K550" s="15"/>
      <c r="L550" s="13"/>
      <c r="M550" s="13"/>
      <c r="N550" s="104"/>
      <c r="O550" s="13"/>
      <c r="P550" s="13"/>
      <c r="Q550" s="13"/>
      <c r="R550" s="13"/>
    </row>
    <row r="553" spans="1:18" x14ac:dyDescent="0.25">
      <c r="A553" s="132" t="s">
        <v>294</v>
      </c>
      <c r="B553" s="132"/>
      <c r="C553" s="132"/>
      <c r="D553" s="132"/>
      <c r="E553" s="132"/>
      <c r="F553" s="132"/>
      <c r="G553" s="132"/>
      <c r="H553" s="132"/>
      <c r="I553" s="132"/>
      <c r="J553" s="132"/>
      <c r="K553" s="132"/>
      <c r="L553" s="137" t="s">
        <v>1</v>
      </c>
      <c r="M553" s="1"/>
      <c r="N553" s="1"/>
      <c r="O553" s="1"/>
      <c r="P553" s="1"/>
      <c r="Q553" s="134" t="s">
        <v>2</v>
      </c>
    </row>
    <row r="554" spans="1:18" x14ac:dyDescent="0.25">
      <c r="A554" s="135" t="s">
        <v>449</v>
      </c>
      <c r="B554" s="135"/>
      <c r="C554" s="135"/>
      <c r="D554" s="135"/>
      <c r="E554" s="135"/>
      <c r="F554" s="135"/>
      <c r="G554" s="135"/>
      <c r="H554" s="135"/>
      <c r="I554" s="135"/>
      <c r="J554" s="2" t="s">
        <v>5</v>
      </c>
      <c r="K554" s="136" t="s">
        <v>6</v>
      </c>
      <c r="L554" s="137"/>
      <c r="M554" s="131" t="s">
        <v>7</v>
      </c>
      <c r="N554" s="3"/>
      <c r="O554" s="3"/>
      <c r="P554" s="4"/>
      <c r="Q554" s="134"/>
    </row>
    <row r="555" spans="1:18" x14ac:dyDescent="0.25">
      <c r="A555" s="5"/>
      <c r="B555" s="142" t="s">
        <v>140</v>
      </c>
      <c r="C555" s="142"/>
      <c r="D555" s="142"/>
      <c r="E555" s="142"/>
      <c r="F555" s="143" t="s">
        <v>9</v>
      </c>
      <c r="G555" s="143"/>
      <c r="H555" s="143"/>
      <c r="I555" s="64"/>
      <c r="J555" s="136" t="s">
        <v>254</v>
      </c>
      <c r="K555" s="136"/>
      <c r="L555" s="137"/>
      <c r="M555" s="131"/>
      <c r="N555" s="144" t="s">
        <v>11</v>
      </c>
      <c r="O555" s="131" t="s">
        <v>12</v>
      </c>
      <c r="P555" s="131" t="s">
        <v>13</v>
      </c>
      <c r="Q555" s="134"/>
    </row>
    <row r="556" spans="1:18" ht="26.25" x14ac:dyDescent="0.25">
      <c r="A556" s="5" t="s">
        <v>14</v>
      </c>
      <c r="B556" s="8" t="s">
        <v>15</v>
      </c>
      <c r="C556" s="8" t="s">
        <v>16</v>
      </c>
      <c r="D556" s="8" t="s">
        <v>17</v>
      </c>
      <c r="E556" s="9" t="s">
        <v>18</v>
      </c>
      <c r="F556" s="10" t="s">
        <v>19</v>
      </c>
      <c r="G556" s="11" t="s">
        <v>20</v>
      </c>
      <c r="H556" s="12" t="s">
        <v>21</v>
      </c>
      <c r="I556" s="65" t="s">
        <v>22</v>
      </c>
      <c r="J556" s="136"/>
      <c r="K556" s="136"/>
      <c r="L556" s="137"/>
      <c r="M556" s="131"/>
      <c r="N556" s="144"/>
      <c r="O556" s="131"/>
      <c r="P556" s="131"/>
      <c r="Q556" s="134"/>
    </row>
    <row r="557" spans="1:18" x14ac:dyDescent="0.25">
      <c r="A557" s="33">
        <v>1</v>
      </c>
      <c r="B557" s="33" t="s">
        <v>450</v>
      </c>
      <c r="C557" s="33" t="s">
        <v>36</v>
      </c>
      <c r="D557" s="33" t="s">
        <v>122</v>
      </c>
      <c r="E557" s="33" t="s">
        <v>26</v>
      </c>
      <c r="F557" s="13"/>
      <c r="G557" s="13"/>
      <c r="H557" s="33">
        <v>1</v>
      </c>
      <c r="I557" s="66">
        <f>SUM(F557:H557)</f>
        <v>1</v>
      </c>
      <c r="J557" s="15">
        <f>O557*Q557</f>
        <v>6298.9107840000006</v>
      </c>
      <c r="K557" s="15">
        <f>J557*I557</f>
        <v>6298.9107840000006</v>
      </c>
      <c r="L557" s="33">
        <v>52050</v>
      </c>
      <c r="M557" s="102" t="s">
        <v>686</v>
      </c>
      <c r="N557" s="13">
        <v>35.68</v>
      </c>
      <c r="O557" s="13">
        <v>39.96</v>
      </c>
      <c r="P557" s="13">
        <v>39.71</v>
      </c>
      <c r="Q557" s="16">
        <v>157.63040000000001</v>
      </c>
    </row>
    <row r="558" spans="1:18" x14ac:dyDescent="0.25">
      <c r="A558" s="33">
        <v>2</v>
      </c>
      <c r="B558" s="33" t="s">
        <v>451</v>
      </c>
      <c r="C558" s="33" t="s">
        <v>264</v>
      </c>
      <c r="D558" s="33" t="s">
        <v>122</v>
      </c>
      <c r="E558" s="33" t="s">
        <v>26</v>
      </c>
      <c r="F558" s="13"/>
      <c r="G558" s="13"/>
      <c r="H558" s="33">
        <v>1</v>
      </c>
      <c r="I558" s="66">
        <f t="shared" ref="I558:I572" si="56">SUM(F558:H558)</f>
        <v>1</v>
      </c>
      <c r="J558" s="15">
        <f t="shared" ref="J558:J572" si="57">O558*Q558</f>
        <v>9448.3661759999995</v>
      </c>
      <c r="K558" s="15">
        <f t="shared" ref="K558:K572" si="58">J558*I558</f>
        <v>9448.3661759999995</v>
      </c>
      <c r="L558" s="33">
        <v>52050</v>
      </c>
      <c r="M558" s="103"/>
      <c r="N558" s="13">
        <v>53.52</v>
      </c>
      <c r="O558" s="13">
        <v>59.94</v>
      </c>
      <c r="P558" s="13">
        <v>59.57</v>
      </c>
      <c r="Q558" s="16">
        <v>157.63040000000001</v>
      </c>
    </row>
    <row r="559" spans="1:18" x14ac:dyDescent="0.25">
      <c r="A559" s="33">
        <v>3</v>
      </c>
      <c r="B559" s="33" t="s">
        <v>452</v>
      </c>
      <c r="C559" s="33" t="s">
        <v>264</v>
      </c>
      <c r="D559" s="33" t="s">
        <v>122</v>
      </c>
      <c r="E559" s="33" t="s">
        <v>26</v>
      </c>
      <c r="F559" s="13"/>
      <c r="G559" s="13"/>
      <c r="H559" s="33">
        <v>1</v>
      </c>
      <c r="I559" s="66">
        <f t="shared" si="56"/>
        <v>1</v>
      </c>
      <c r="J559" s="15">
        <f t="shared" si="57"/>
        <v>4724.1830879999998</v>
      </c>
      <c r="K559" s="15">
        <f t="shared" si="58"/>
        <v>4724.1830879999998</v>
      </c>
      <c r="L559" s="33">
        <v>52050</v>
      </c>
      <c r="M559" s="103"/>
      <c r="N559" s="13">
        <v>26.76</v>
      </c>
      <c r="O559" s="13">
        <v>29.97</v>
      </c>
      <c r="P559" s="13">
        <v>29.78</v>
      </c>
      <c r="Q559" s="16">
        <v>157.63040000000001</v>
      </c>
    </row>
    <row r="560" spans="1:18" x14ac:dyDescent="0.25">
      <c r="A560" s="33">
        <v>4</v>
      </c>
      <c r="B560" s="33" t="s">
        <v>451</v>
      </c>
      <c r="C560" s="33" t="s">
        <v>36</v>
      </c>
      <c r="D560" s="33" t="s">
        <v>36</v>
      </c>
      <c r="E560" s="33" t="s">
        <v>26</v>
      </c>
      <c r="F560" s="13"/>
      <c r="G560" s="13"/>
      <c r="H560" s="33">
        <v>1</v>
      </c>
      <c r="I560" s="66">
        <f t="shared" si="56"/>
        <v>1</v>
      </c>
      <c r="J560" s="15">
        <f>P560*Q560</f>
        <v>7834.230880000001</v>
      </c>
      <c r="K560" s="15">
        <f t="shared" si="58"/>
        <v>7834.230880000001</v>
      </c>
      <c r="L560" s="33">
        <v>52151</v>
      </c>
      <c r="M560" s="103"/>
      <c r="N560" s="13">
        <v>44.64</v>
      </c>
      <c r="O560" s="13">
        <v>49.1</v>
      </c>
      <c r="P560" s="19">
        <v>49.7</v>
      </c>
      <c r="Q560" s="16">
        <v>157.63040000000001</v>
      </c>
    </row>
    <row r="561" spans="1:18" x14ac:dyDescent="0.25">
      <c r="A561" s="33">
        <v>5</v>
      </c>
      <c r="B561" s="33" t="s">
        <v>258</v>
      </c>
      <c r="C561" s="33" t="s">
        <v>262</v>
      </c>
      <c r="D561" s="33" t="s">
        <v>31</v>
      </c>
      <c r="E561" s="33" t="s">
        <v>26</v>
      </c>
      <c r="F561" s="13"/>
      <c r="G561" s="13"/>
      <c r="H561" s="33">
        <v>2</v>
      </c>
      <c r="I561" s="66">
        <f t="shared" si="56"/>
        <v>2</v>
      </c>
      <c r="J561" s="15">
        <f t="shared" si="57"/>
        <v>5745.6280800000004</v>
      </c>
      <c r="K561" s="15">
        <f t="shared" si="58"/>
        <v>11491.256160000001</v>
      </c>
      <c r="L561" s="33">
        <v>52151</v>
      </c>
      <c r="M561" s="103"/>
      <c r="N561" s="13">
        <v>32.549999999999997</v>
      </c>
      <c r="O561" s="13">
        <v>36.450000000000003</v>
      </c>
      <c r="P561" s="13">
        <v>36.22</v>
      </c>
      <c r="Q561" s="16">
        <v>157.63040000000001</v>
      </c>
    </row>
    <row r="562" spans="1:18" x14ac:dyDescent="0.25">
      <c r="A562" s="33">
        <v>6</v>
      </c>
      <c r="B562" s="33" t="s">
        <v>451</v>
      </c>
      <c r="C562" s="33" t="s">
        <v>453</v>
      </c>
      <c r="D562" s="33" t="s">
        <v>122</v>
      </c>
      <c r="E562" s="33" t="s">
        <v>26</v>
      </c>
      <c r="F562" s="13"/>
      <c r="G562" s="13"/>
      <c r="H562" s="33">
        <v>1</v>
      </c>
      <c r="I562" s="66">
        <f t="shared" si="56"/>
        <v>1</v>
      </c>
      <c r="J562" s="15">
        <f t="shared" si="57"/>
        <v>9448.3661759999995</v>
      </c>
      <c r="K562" s="15">
        <f t="shared" si="58"/>
        <v>9448.3661759999995</v>
      </c>
      <c r="L562" s="33">
        <v>52151</v>
      </c>
      <c r="M562" s="103"/>
      <c r="N562" s="13">
        <v>53.52</v>
      </c>
      <c r="O562" s="13">
        <v>59.94</v>
      </c>
      <c r="P562" s="13">
        <v>59.57</v>
      </c>
      <c r="Q562" s="16">
        <v>157.63040000000001</v>
      </c>
    </row>
    <row r="563" spans="1:18" x14ac:dyDescent="0.25">
      <c r="A563" s="33">
        <v>7</v>
      </c>
      <c r="B563" s="33" t="s">
        <v>259</v>
      </c>
      <c r="C563" s="33" t="s">
        <v>36</v>
      </c>
      <c r="D563" s="33" t="s">
        <v>31</v>
      </c>
      <c r="E563" s="33" t="s">
        <v>26</v>
      </c>
      <c r="F563" s="13"/>
      <c r="G563" s="13"/>
      <c r="H563" s="33">
        <v>1</v>
      </c>
      <c r="I563" s="66">
        <f t="shared" si="56"/>
        <v>1</v>
      </c>
      <c r="J563" s="15">
        <f t="shared" si="57"/>
        <v>3798.8926400000005</v>
      </c>
      <c r="K563" s="15">
        <f t="shared" si="58"/>
        <v>3798.8926400000005</v>
      </c>
      <c r="L563" s="33">
        <v>52151</v>
      </c>
      <c r="M563" s="103"/>
      <c r="N563" s="13">
        <v>22.32</v>
      </c>
      <c r="O563" s="13">
        <v>24.1</v>
      </c>
      <c r="P563" s="13">
        <v>23.95</v>
      </c>
      <c r="Q563" s="16">
        <v>157.63040000000001</v>
      </c>
    </row>
    <row r="564" spans="1:18" x14ac:dyDescent="0.25">
      <c r="A564" s="33">
        <v>8</v>
      </c>
      <c r="B564" s="33" t="s">
        <v>259</v>
      </c>
      <c r="C564" s="33" t="s">
        <v>454</v>
      </c>
      <c r="D564" s="33" t="s">
        <v>31</v>
      </c>
      <c r="E564" s="33" t="s">
        <v>26</v>
      </c>
      <c r="F564" s="13"/>
      <c r="G564" s="13"/>
      <c r="H564" s="33">
        <v>1</v>
      </c>
      <c r="I564" s="66">
        <f t="shared" si="56"/>
        <v>1</v>
      </c>
      <c r="J564" s="15">
        <f t="shared" si="57"/>
        <v>3798.8926400000005</v>
      </c>
      <c r="K564" s="15">
        <f t="shared" si="58"/>
        <v>3798.8926400000005</v>
      </c>
      <c r="L564" s="33">
        <v>52151</v>
      </c>
      <c r="M564" s="103"/>
      <c r="N564" s="13">
        <v>22.32</v>
      </c>
      <c r="O564" s="13">
        <v>24.1</v>
      </c>
      <c r="P564" s="13">
        <v>23.95</v>
      </c>
      <c r="Q564" s="16">
        <v>157.63040000000001</v>
      </c>
    </row>
    <row r="565" spans="1:18" x14ac:dyDescent="0.25">
      <c r="A565" s="33">
        <v>9</v>
      </c>
      <c r="B565" s="33" t="s">
        <v>455</v>
      </c>
      <c r="C565" s="33" t="s">
        <v>36</v>
      </c>
      <c r="D565" s="33" t="s">
        <v>122</v>
      </c>
      <c r="E565" s="33" t="s">
        <v>26</v>
      </c>
      <c r="F565" s="13"/>
      <c r="G565" s="13"/>
      <c r="H565" s="33">
        <v>2</v>
      </c>
      <c r="I565" s="66">
        <f t="shared" si="56"/>
        <v>2</v>
      </c>
      <c r="J565" s="15">
        <f t="shared" si="57"/>
        <v>5826.0195840000006</v>
      </c>
      <c r="K565" s="15">
        <f t="shared" si="58"/>
        <v>11652.039168000001</v>
      </c>
      <c r="L565" s="33">
        <v>52151</v>
      </c>
      <c r="M565" s="103"/>
      <c r="N565" s="13">
        <v>33</v>
      </c>
      <c r="O565" s="13">
        <v>36.96</v>
      </c>
      <c r="P565" s="13">
        <v>36.729999999999997</v>
      </c>
      <c r="Q565" s="16">
        <v>157.63040000000001</v>
      </c>
    </row>
    <row r="566" spans="1:18" x14ac:dyDescent="0.25">
      <c r="A566" s="33">
        <v>10</v>
      </c>
      <c r="B566" s="33" t="s">
        <v>259</v>
      </c>
      <c r="C566" s="33" t="s">
        <v>36</v>
      </c>
      <c r="D566" s="33" t="s">
        <v>122</v>
      </c>
      <c r="E566" s="33" t="s">
        <v>26</v>
      </c>
      <c r="F566" s="13"/>
      <c r="G566" s="13"/>
      <c r="H566" s="33">
        <v>10</v>
      </c>
      <c r="I566" s="66">
        <f t="shared" si="56"/>
        <v>10</v>
      </c>
      <c r="J566" s="15">
        <f t="shared" si="57"/>
        <v>4724.1830879999998</v>
      </c>
      <c r="K566" s="15">
        <f t="shared" si="58"/>
        <v>47241.830879999994</v>
      </c>
      <c r="L566" s="33">
        <v>52151</v>
      </c>
      <c r="M566" s="103"/>
      <c r="N566" s="13">
        <v>26.76</v>
      </c>
      <c r="O566" s="13">
        <v>29.97</v>
      </c>
      <c r="P566" s="13">
        <v>29.78</v>
      </c>
      <c r="Q566" s="16">
        <v>157.63040000000001</v>
      </c>
    </row>
    <row r="567" spans="1:18" x14ac:dyDescent="0.25">
      <c r="A567" s="33">
        <v>11</v>
      </c>
      <c r="B567" s="33" t="s">
        <v>456</v>
      </c>
      <c r="C567" s="33" t="s">
        <v>457</v>
      </c>
      <c r="D567" s="33" t="s">
        <v>122</v>
      </c>
      <c r="E567" s="33" t="s">
        <v>26</v>
      </c>
      <c r="F567" s="13"/>
      <c r="G567" s="13"/>
      <c r="H567" s="33">
        <v>111</v>
      </c>
      <c r="I567" s="66">
        <f t="shared" si="56"/>
        <v>111</v>
      </c>
      <c r="J567" s="15">
        <f t="shared" si="57"/>
        <v>372.007744</v>
      </c>
      <c r="K567" s="15">
        <f t="shared" si="58"/>
        <v>41292.859583999998</v>
      </c>
      <c r="L567" s="33">
        <v>52151</v>
      </c>
      <c r="M567" s="103"/>
      <c r="N567" s="13">
        <v>2.11</v>
      </c>
      <c r="O567" s="13">
        <v>2.36</v>
      </c>
      <c r="P567" s="13">
        <v>2.34</v>
      </c>
      <c r="Q567" s="16">
        <v>157.63040000000001</v>
      </c>
    </row>
    <row r="568" spans="1:18" x14ac:dyDescent="0.25">
      <c r="A568" s="33">
        <v>12</v>
      </c>
      <c r="B568" s="33" t="s">
        <v>456</v>
      </c>
      <c r="C568" s="33" t="s">
        <v>273</v>
      </c>
      <c r="D568" s="33" t="s">
        <v>122</v>
      </c>
      <c r="E568" s="33" t="s">
        <v>26</v>
      </c>
      <c r="F568" s="13"/>
      <c r="G568" s="13"/>
      <c r="H568" s="33">
        <v>50</v>
      </c>
      <c r="I568" s="66">
        <f t="shared" si="56"/>
        <v>50</v>
      </c>
      <c r="J568" s="15">
        <f t="shared" si="57"/>
        <v>372.007744</v>
      </c>
      <c r="K568" s="15">
        <f t="shared" si="58"/>
        <v>18600.387200000001</v>
      </c>
      <c r="L568" s="33">
        <v>52151</v>
      </c>
      <c r="M568" s="103"/>
      <c r="N568" s="13">
        <v>2.11</v>
      </c>
      <c r="O568" s="13">
        <v>2.36</v>
      </c>
      <c r="P568" s="13">
        <v>2.34</v>
      </c>
      <c r="Q568" s="16">
        <v>157.63040000000001</v>
      </c>
    </row>
    <row r="569" spans="1:18" x14ac:dyDescent="0.25">
      <c r="A569" s="33">
        <v>13</v>
      </c>
      <c r="B569" s="33" t="s">
        <v>456</v>
      </c>
      <c r="C569" s="33" t="s">
        <v>36</v>
      </c>
      <c r="D569" s="33" t="s">
        <v>122</v>
      </c>
      <c r="E569" s="33" t="s">
        <v>26</v>
      </c>
      <c r="F569" s="13"/>
      <c r="G569" s="13"/>
      <c r="H569" s="33">
        <v>149</v>
      </c>
      <c r="I569" s="66">
        <f t="shared" si="56"/>
        <v>149</v>
      </c>
      <c r="J569" s="15">
        <f t="shared" si="57"/>
        <v>372.007744</v>
      </c>
      <c r="K569" s="15">
        <f t="shared" si="58"/>
        <v>55429.153855999997</v>
      </c>
      <c r="L569" s="33">
        <v>52151</v>
      </c>
      <c r="M569" s="103"/>
      <c r="N569" s="13">
        <v>2.11</v>
      </c>
      <c r="O569" s="13">
        <v>2.36</v>
      </c>
      <c r="P569" s="13">
        <v>2.34</v>
      </c>
      <c r="Q569" s="16">
        <v>157.63040000000001</v>
      </c>
    </row>
    <row r="570" spans="1:18" x14ac:dyDescent="0.25">
      <c r="A570" s="33">
        <v>14</v>
      </c>
      <c r="B570" s="33" t="s">
        <v>456</v>
      </c>
      <c r="C570" s="33" t="s">
        <v>271</v>
      </c>
      <c r="D570" s="33" t="s">
        <v>122</v>
      </c>
      <c r="E570" s="33" t="s">
        <v>26</v>
      </c>
      <c r="F570" s="13"/>
      <c r="G570" s="13"/>
      <c r="H570" s="33">
        <v>12</v>
      </c>
      <c r="I570" s="66">
        <f t="shared" si="56"/>
        <v>12</v>
      </c>
      <c r="J570" s="15">
        <f t="shared" si="57"/>
        <v>372.007744</v>
      </c>
      <c r="K570" s="15">
        <f t="shared" si="58"/>
        <v>4464.092928</v>
      </c>
      <c r="L570" s="33">
        <v>52151</v>
      </c>
      <c r="M570" s="103"/>
      <c r="N570" s="13">
        <v>2.11</v>
      </c>
      <c r="O570" s="13">
        <v>2.36</v>
      </c>
      <c r="P570" s="13">
        <v>2.34</v>
      </c>
      <c r="Q570" s="16">
        <v>157.63040000000001</v>
      </c>
    </row>
    <row r="571" spans="1:18" x14ac:dyDescent="0.25">
      <c r="A571" s="33">
        <v>15</v>
      </c>
      <c r="B571" s="33" t="s">
        <v>456</v>
      </c>
      <c r="C571" s="33" t="s">
        <v>36</v>
      </c>
      <c r="D571" s="33" t="s">
        <v>31</v>
      </c>
      <c r="E571" s="33" t="s">
        <v>26</v>
      </c>
      <c r="F571" s="13"/>
      <c r="G571" s="13"/>
      <c r="H571" s="33">
        <v>26</v>
      </c>
      <c r="I571" s="66">
        <f t="shared" si="56"/>
        <v>26</v>
      </c>
      <c r="J571" s="15">
        <f t="shared" si="57"/>
        <v>372.007744</v>
      </c>
      <c r="K571" s="15">
        <f t="shared" si="58"/>
        <v>9672.201344000001</v>
      </c>
      <c r="L571" s="33">
        <v>52151</v>
      </c>
      <c r="M571" s="103"/>
      <c r="N571" s="13">
        <v>2.11</v>
      </c>
      <c r="O571" s="13">
        <v>2.36</v>
      </c>
      <c r="P571" s="13">
        <v>2.34</v>
      </c>
      <c r="Q571" s="16">
        <v>157.63040000000001</v>
      </c>
    </row>
    <row r="572" spans="1:18" x14ac:dyDescent="0.25">
      <c r="A572" s="33">
        <v>16</v>
      </c>
      <c r="B572" s="33" t="s">
        <v>456</v>
      </c>
      <c r="C572" s="33" t="s">
        <v>36</v>
      </c>
      <c r="D572" s="33" t="s">
        <v>36</v>
      </c>
      <c r="E572" s="33" t="s">
        <v>26</v>
      </c>
      <c r="F572" s="13"/>
      <c r="G572" s="13"/>
      <c r="H572" s="33">
        <v>10</v>
      </c>
      <c r="I572" s="66">
        <f t="shared" si="56"/>
        <v>10</v>
      </c>
      <c r="J572" s="15">
        <f t="shared" si="57"/>
        <v>372.007744</v>
      </c>
      <c r="K572" s="15">
        <f t="shared" si="58"/>
        <v>3720.07744</v>
      </c>
      <c r="L572" s="33">
        <v>52151</v>
      </c>
      <c r="M572" s="103"/>
      <c r="N572" s="13">
        <v>2.11</v>
      </c>
      <c r="O572" s="13">
        <v>2.36</v>
      </c>
      <c r="P572" s="13">
        <v>2.34</v>
      </c>
      <c r="Q572" s="16">
        <v>157.63040000000001</v>
      </c>
    </row>
    <row r="573" spans="1:18" x14ac:dyDescent="0.25">
      <c r="A573" s="123" t="s">
        <v>5</v>
      </c>
      <c r="B573" s="123"/>
      <c r="C573" s="123"/>
      <c r="D573" s="123"/>
      <c r="E573" s="123"/>
      <c r="F573" s="123"/>
      <c r="G573" s="123"/>
      <c r="H573" s="123"/>
      <c r="I573" s="123"/>
      <c r="J573" s="123"/>
      <c r="K573" s="60">
        <f>SUM(K557:K572)</f>
        <v>248915.74094399996</v>
      </c>
      <c r="L573" s="13"/>
      <c r="M573" s="103"/>
      <c r="N573" s="13"/>
      <c r="O573" s="13"/>
      <c r="P573" s="13"/>
      <c r="Q573" s="13"/>
      <c r="R573" s="13"/>
    </row>
    <row r="574" spans="1:18" x14ac:dyDescent="0.25">
      <c r="A574" s="123" t="s">
        <v>669</v>
      </c>
      <c r="B574" s="123"/>
      <c r="C574" s="123"/>
      <c r="D574" s="123"/>
      <c r="E574" s="123"/>
      <c r="F574" s="123"/>
      <c r="G574" s="123"/>
      <c r="H574" s="123"/>
      <c r="I574" s="123"/>
      <c r="J574" s="123"/>
      <c r="K574" s="15"/>
      <c r="L574" s="13"/>
      <c r="M574" s="104"/>
      <c r="N574" s="13"/>
      <c r="O574" s="13"/>
      <c r="P574" s="13"/>
      <c r="Q574" s="13"/>
      <c r="R574" s="13"/>
    </row>
    <row r="577" spans="1:18" x14ac:dyDescent="0.25">
      <c r="A577" s="132" t="s">
        <v>458</v>
      </c>
      <c r="B577" s="132"/>
      <c r="C577" s="132"/>
      <c r="D577" s="132"/>
      <c r="E577" s="132"/>
      <c r="F577" s="132"/>
      <c r="G577" s="132"/>
      <c r="H577" s="132"/>
      <c r="I577" s="132"/>
      <c r="J577" s="132"/>
      <c r="K577" s="132"/>
      <c r="L577" s="132"/>
      <c r="M577" s="1"/>
      <c r="N577" s="1"/>
      <c r="O577" s="1"/>
      <c r="P577" s="1"/>
      <c r="Q577" s="134" t="s">
        <v>2</v>
      </c>
    </row>
    <row r="578" spans="1:18" x14ac:dyDescent="0.25">
      <c r="A578" s="135" t="s">
        <v>4</v>
      </c>
      <c r="B578" s="135"/>
      <c r="C578" s="135"/>
      <c r="D578" s="135"/>
      <c r="E578" s="135"/>
      <c r="F578" s="135"/>
      <c r="G578" s="135"/>
      <c r="H578" s="135"/>
      <c r="I578" s="135"/>
      <c r="J578" s="2" t="s">
        <v>5</v>
      </c>
      <c r="K578" s="136" t="s">
        <v>6</v>
      </c>
      <c r="L578" s="137" t="s">
        <v>1</v>
      </c>
      <c r="M578" s="131" t="s">
        <v>7</v>
      </c>
      <c r="N578" s="3"/>
      <c r="O578" s="3"/>
      <c r="P578" s="4"/>
      <c r="Q578" s="134"/>
    </row>
    <row r="579" spans="1:18" x14ac:dyDescent="0.25">
      <c r="A579" s="5"/>
      <c r="B579" s="142" t="s">
        <v>8</v>
      </c>
      <c r="C579" s="142"/>
      <c r="D579" s="142"/>
      <c r="E579" s="142"/>
      <c r="F579" s="143" t="s">
        <v>9</v>
      </c>
      <c r="G579" s="143"/>
      <c r="H579" s="143"/>
      <c r="I579" s="64"/>
      <c r="J579" s="136" t="s">
        <v>10</v>
      </c>
      <c r="K579" s="136"/>
      <c r="L579" s="137"/>
      <c r="M579" s="131"/>
      <c r="N579" s="144" t="s">
        <v>11</v>
      </c>
      <c r="O579" s="131" t="s">
        <v>12</v>
      </c>
      <c r="P579" s="131" t="s">
        <v>13</v>
      </c>
      <c r="Q579" s="134"/>
    </row>
    <row r="580" spans="1:18" ht="26.25" x14ac:dyDescent="0.25">
      <c r="A580" s="5" t="s">
        <v>14</v>
      </c>
      <c r="B580" s="8" t="s">
        <v>15</v>
      </c>
      <c r="C580" s="8" t="s">
        <v>16</v>
      </c>
      <c r="D580" s="8" t="s">
        <v>17</v>
      </c>
      <c r="E580" s="9" t="s">
        <v>18</v>
      </c>
      <c r="F580" s="10" t="s">
        <v>19</v>
      </c>
      <c r="G580" s="11" t="s">
        <v>20</v>
      </c>
      <c r="H580" s="12" t="s">
        <v>21</v>
      </c>
      <c r="I580" s="65" t="s">
        <v>22</v>
      </c>
      <c r="J580" s="136"/>
      <c r="K580" s="136"/>
      <c r="L580" s="137"/>
      <c r="M580" s="131"/>
      <c r="N580" s="144"/>
      <c r="O580" s="131"/>
      <c r="P580" s="131"/>
      <c r="Q580" s="134"/>
    </row>
    <row r="581" spans="1:18" x14ac:dyDescent="0.25">
      <c r="A581" s="13">
        <v>1</v>
      </c>
      <c r="B581" s="13" t="s">
        <v>459</v>
      </c>
      <c r="C581" s="13" t="s">
        <v>460</v>
      </c>
      <c r="D581" s="13" t="s">
        <v>36</v>
      </c>
      <c r="E581" s="13" t="s">
        <v>461</v>
      </c>
      <c r="F581" s="13"/>
      <c r="G581" s="13"/>
      <c r="H581" s="13">
        <v>17</v>
      </c>
      <c r="I581" s="66">
        <f>SUM(F581:H581)</f>
        <v>17</v>
      </c>
      <c r="J581" s="15">
        <f>O581*Q581</f>
        <v>10290.112512000002</v>
      </c>
      <c r="K581" s="15">
        <f>J581*I581</f>
        <v>174931.91270400002</v>
      </c>
      <c r="L581" s="13">
        <v>52190</v>
      </c>
      <c r="M581" s="102" t="s">
        <v>687</v>
      </c>
      <c r="N581" s="13">
        <v>58.29</v>
      </c>
      <c r="O581" s="13">
        <v>65.28</v>
      </c>
      <c r="P581" s="13">
        <v>35.22</v>
      </c>
      <c r="Q581" s="16">
        <v>157.63040000000001</v>
      </c>
    </row>
    <row r="582" spans="1:18" x14ac:dyDescent="0.25">
      <c r="A582" s="13">
        <v>2</v>
      </c>
      <c r="B582" s="13" t="s">
        <v>462</v>
      </c>
      <c r="C582" s="13" t="s">
        <v>463</v>
      </c>
      <c r="D582" s="13" t="s">
        <v>31</v>
      </c>
      <c r="E582" s="13" t="s">
        <v>464</v>
      </c>
      <c r="F582" s="13"/>
      <c r="G582" s="13"/>
      <c r="H582" s="13">
        <v>20</v>
      </c>
      <c r="I582" s="66">
        <f t="shared" ref="I582:I588" si="59">SUM(F582:H582)</f>
        <v>20</v>
      </c>
      <c r="J582" s="15">
        <f t="shared" ref="J582:J588" si="60">O582*Q582</f>
        <v>9320.6855520000008</v>
      </c>
      <c r="K582" s="15">
        <f t="shared" ref="K582:K588" si="61">J582*I582</f>
        <v>186413.71104000002</v>
      </c>
      <c r="L582" s="13">
        <v>52190</v>
      </c>
      <c r="M582" s="103"/>
      <c r="N582" s="13">
        <v>52.8</v>
      </c>
      <c r="O582" s="13">
        <v>59.13</v>
      </c>
      <c r="P582" s="13">
        <v>31.9</v>
      </c>
      <c r="Q582" s="16">
        <v>157.63040000000001</v>
      </c>
    </row>
    <row r="583" spans="1:18" x14ac:dyDescent="0.25">
      <c r="A583" s="13">
        <v>3</v>
      </c>
      <c r="B583" s="13" t="s">
        <v>465</v>
      </c>
      <c r="C583" s="13" t="s">
        <v>466</v>
      </c>
      <c r="D583" s="13" t="s">
        <v>36</v>
      </c>
      <c r="E583" s="13" t="s">
        <v>464</v>
      </c>
      <c r="F583" s="13"/>
      <c r="G583" s="13"/>
      <c r="H583" s="13">
        <v>1</v>
      </c>
      <c r="I583" s="66">
        <f t="shared" si="59"/>
        <v>1</v>
      </c>
      <c r="J583" s="15">
        <f t="shared" si="60"/>
        <v>48383.074976000004</v>
      </c>
      <c r="K583" s="15">
        <f t="shared" si="61"/>
        <v>48383.074976000004</v>
      </c>
      <c r="L583" s="13">
        <v>52190</v>
      </c>
      <c r="M583" s="103"/>
      <c r="N583" s="13">
        <v>274.05</v>
      </c>
      <c r="O583" s="13">
        <v>306.94</v>
      </c>
      <c r="P583" s="13">
        <v>165.61</v>
      </c>
      <c r="Q583" s="16">
        <v>157.63040000000001</v>
      </c>
    </row>
    <row r="584" spans="1:18" x14ac:dyDescent="0.25">
      <c r="A584" s="13">
        <v>4</v>
      </c>
      <c r="B584" s="13" t="s">
        <v>467</v>
      </c>
      <c r="C584" s="13" t="s">
        <v>466</v>
      </c>
      <c r="D584" s="13" t="s">
        <v>36</v>
      </c>
      <c r="E584" s="13" t="s">
        <v>464</v>
      </c>
      <c r="F584" s="13"/>
      <c r="G584" s="13"/>
      <c r="H584" s="13">
        <v>1</v>
      </c>
      <c r="I584" s="66">
        <f t="shared" si="59"/>
        <v>1</v>
      </c>
      <c r="J584" s="15">
        <f t="shared" si="60"/>
        <v>52565.009488000011</v>
      </c>
      <c r="K584" s="15">
        <f t="shared" si="61"/>
        <v>52565.009488000011</v>
      </c>
      <c r="L584" s="13">
        <v>52190</v>
      </c>
      <c r="M584" s="103"/>
      <c r="N584" s="13">
        <v>297.74</v>
      </c>
      <c r="O584" s="13">
        <v>333.47</v>
      </c>
      <c r="P584" s="13">
        <v>179.93</v>
      </c>
      <c r="Q584" s="16">
        <v>157.63040000000001</v>
      </c>
    </row>
    <row r="585" spans="1:18" x14ac:dyDescent="0.25">
      <c r="A585" s="13">
        <v>5</v>
      </c>
      <c r="B585" s="13" t="s">
        <v>468</v>
      </c>
      <c r="C585" s="13" t="s">
        <v>466</v>
      </c>
      <c r="D585" s="13" t="s">
        <v>36</v>
      </c>
      <c r="E585" s="13" t="s">
        <v>464</v>
      </c>
      <c r="F585" s="13"/>
      <c r="G585" s="13"/>
      <c r="H585" s="13">
        <v>1</v>
      </c>
      <c r="I585" s="66">
        <f t="shared" si="59"/>
        <v>1</v>
      </c>
      <c r="J585" s="15">
        <f t="shared" si="60"/>
        <v>48441.398224000004</v>
      </c>
      <c r="K585" s="15">
        <f t="shared" si="61"/>
        <v>48441.398224000004</v>
      </c>
      <c r="L585" s="13">
        <v>52190</v>
      </c>
      <c r="M585" s="103"/>
      <c r="N585" s="13">
        <v>274.38</v>
      </c>
      <c r="O585" s="13">
        <v>307.31</v>
      </c>
      <c r="P585" s="13">
        <v>165.81</v>
      </c>
      <c r="Q585" s="16">
        <v>157.63040000000001</v>
      </c>
    </row>
    <row r="586" spans="1:18" x14ac:dyDescent="0.25">
      <c r="A586" s="13">
        <v>6</v>
      </c>
      <c r="B586" s="13" t="s">
        <v>469</v>
      </c>
      <c r="C586" s="13" t="s">
        <v>466</v>
      </c>
      <c r="D586" s="13" t="s">
        <v>36</v>
      </c>
      <c r="E586" s="13" t="s">
        <v>464</v>
      </c>
      <c r="F586" s="13"/>
      <c r="G586" s="13"/>
      <c r="H586" s="13">
        <v>1</v>
      </c>
      <c r="I586" s="66">
        <f t="shared" si="59"/>
        <v>1</v>
      </c>
      <c r="J586" s="15">
        <f t="shared" si="60"/>
        <v>47163.015680000004</v>
      </c>
      <c r="K586" s="15">
        <f t="shared" si="61"/>
        <v>47163.015680000004</v>
      </c>
      <c r="L586" s="13">
        <v>52190</v>
      </c>
      <c r="M586" s="103"/>
      <c r="N586" s="13">
        <v>267.14</v>
      </c>
      <c r="O586" s="13">
        <v>299.2</v>
      </c>
      <c r="P586" s="13">
        <v>161.44</v>
      </c>
      <c r="Q586" s="16">
        <v>157.63040000000001</v>
      </c>
    </row>
    <row r="587" spans="1:18" x14ac:dyDescent="0.25">
      <c r="A587" s="13">
        <v>7</v>
      </c>
      <c r="B587" s="13" t="s">
        <v>470</v>
      </c>
      <c r="C587" s="13" t="s">
        <v>466</v>
      </c>
      <c r="D587" s="13" t="s">
        <v>36</v>
      </c>
      <c r="E587" s="13" t="s">
        <v>464</v>
      </c>
      <c r="F587" s="13"/>
      <c r="G587" s="13"/>
      <c r="H587" s="13">
        <v>1</v>
      </c>
      <c r="I587" s="66">
        <f t="shared" si="59"/>
        <v>1</v>
      </c>
      <c r="J587" s="15">
        <f t="shared" si="60"/>
        <v>47453.055616000005</v>
      </c>
      <c r="K587" s="15">
        <f t="shared" si="61"/>
        <v>47453.055616000005</v>
      </c>
      <c r="L587" s="13">
        <v>52190</v>
      </c>
      <c r="M587" s="103"/>
      <c r="N587" s="13">
        <v>268.79000000000002</v>
      </c>
      <c r="O587" s="13">
        <v>301.04000000000002</v>
      </c>
      <c r="P587" s="13">
        <v>162.43</v>
      </c>
      <c r="Q587" s="16">
        <v>157.63040000000001</v>
      </c>
    </row>
    <row r="588" spans="1:18" x14ac:dyDescent="0.25">
      <c r="A588" s="13">
        <v>8</v>
      </c>
      <c r="B588" s="13" t="s">
        <v>471</v>
      </c>
      <c r="C588" s="13" t="s">
        <v>466</v>
      </c>
      <c r="D588" s="13" t="s">
        <v>36</v>
      </c>
      <c r="E588" s="13" t="s">
        <v>464</v>
      </c>
      <c r="F588" s="13"/>
      <c r="G588" s="13"/>
      <c r="H588" s="13">
        <v>2</v>
      </c>
      <c r="I588" s="66">
        <f t="shared" si="59"/>
        <v>2</v>
      </c>
      <c r="J588" s="15">
        <f t="shared" si="60"/>
        <v>48673.114911999997</v>
      </c>
      <c r="K588" s="15">
        <f t="shared" si="61"/>
        <v>97346.229823999995</v>
      </c>
      <c r="L588" s="13">
        <v>52190</v>
      </c>
      <c r="M588" s="103"/>
      <c r="N588" s="13">
        <v>275.7</v>
      </c>
      <c r="O588" s="13">
        <v>308.77999999999997</v>
      </c>
      <c r="P588" s="13">
        <v>166.61</v>
      </c>
      <c r="Q588" s="16">
        <v>157.63040000000001</v>
      </c>
    </row>
    <row r="589" spans="1:18" x14ac:dyDescent="0.25">
      <c r="A589" s="123" t="s">
        <v>5</v>
      </c>
      <c r="B589" s="123"/>
      <c r="C589" s="123"/>
      <c r="D589" s="123"/>
      <c r="E589" s="123"/>
      <c r="F589" s="123"/>
      <c r="G589" s="123"/>
      <c r="H589" s="123"/>
      <c r="I589" s="123"/>
      <c r="J589" s="123"/>
      <c r="K589" s="60">
        <f>SUM(K581:K588)</f>
        <v>702697.40755200002</v>
      </c>
      <c r="L589" s="13"/>
      <c r="M589" s="103"/>
      <c r="N589" s="13"/>
      <c r="O589" s="13"/>
      <c r="P589" s="13"/>
      <c r="Q589" s="13"/>
      <c r="R589" s="13"/>
    </row>
    <row r="590" spans="1:18" x14ac:dyDescent="0.25">
      <c r="A590" s="123" t="s">
        <v>669</v>
      </c>
      <c r="B590" s="123"/>
      <c r="C590" s="123"/>
      <c r="D590" s="123"/>
      <c r="E590" s="123"/>
      <c r="F590" s="123"/>
      <c r="G590" s="123"/>
      <c r="H590" s="123"/>
      <c r="I590" s="123"/>
      <c r="J590" s="123"/>
      <c r="K590" s="15"/>
      <c r="L590" s="13"/>
      <c r="M590" s="104"/>
      <c r="N590" s="13"/>
      <c r="O590" s="13"/>
      <c r="P590" s="13"/>
      <c r="Q590" s="13"/>
      <c r="R590" s="13"/>
    </row>
    <row r="593" spans="1:18" x14ac:dyDescent="0.25">
      <c r="A593" s="132" t="s">
        <v>458</v>
      </c>
      <c r="B593" s="132"/>
      <c r="C593" s="132"/>
      <c r="D593" s="132"/>
      <c r="E593" s="132"/>
      <c r="F593" s="132"/>
      <c r="G593" s="132"/>
      <c r="H593" s="132"/>
      <c r="I593" s="132"/>
      <c r="J593" s="132"/>
      <c r="K593" s="132"/>
      <c r="L593" s="132"/>
      <c r="M593" s="1"/>
      <c r="N593" s="1"/>
      <c r="O593" s="1"/>
      <c r="P593" s="1"/>
      <c r="Q593" s="134" t="s">
        <v>2</v>
      </c>
    </row>
    <row r="594" spans="1:18" x14ac:dyDescent="0.25">
      <c r="A594" s="135" t="s">
        <v>472</v>
      </c>
      <c r="B594" s="135"/>
      <c r="C594" s="135"/>
      <c r="D594" s="135"/>
      <c r="E594" s="135"/>
      <c r="F594" s="135"/>
      <c r="G594" s="135"/>
      <c r="H594" s="135"/>
      <c r="I594" s="135"/>
      <c r="J594" s="2" t="s">
        <v>5</v>
      </c>
      <c r="K594" s="136" t="s">
        <v>6</v>
      </c>
      <c r="L594" s="137" t="s">
        <v>1</v>
      </c>
      <c r="M594" s="131" t="s">
        <v>7</v>
      </c>
      <c r="N594" s="3"/>
      <c r="O594" s="3"/>
      <c r="P594" s="4"/>
      <c r="Q594" s="134"/>
    </row>
    <row r="595" spans="1:18" x14ac:dyDescent="0.25">
      <c r="A595" s="5"/>
      <c r="B595" s="142" t="s">
        <v>8</v>
      </c>
      <c r="C595" s="142"/>
      <c r="D595" s="142"/>
      <c r="E595" s="142"/>
      <c r="F595" s="143" t="s">
        <v>9</v>
      </c>
      <c r="G595" s="143"/>
      <c r="H595" s="143"/>
      <c r="I595" s="64"/>
      <c r="J595" s="136" t="s">
        <v>10</v>
      </c>
      <c r="K595" s="136"/>
      <c r="L595" s="137"/>
      <c r="M595" s="131"/>
      <c r="N595" s="144" t="s">
        <v>11</v>
      </c>
      <c r="O595" s="131" t="s">
        <v>12</v>
      </c>
      <c r="P595" s="131" t="s">
        <v>13</v>
      </c>
      <c r="Q595" s="134"/>
    </row>
    <row r="596" spans="1:18" ht="26.25" x14ac:dyDescent="0.25">
      <c r="A596" s="5" t="s">
        <v>14</v>
      </c>
      <c r="B596" s="8" t="s">
        <v>15</v>
      </c>
      <c r="C596" s="8" t="s">
        <v>16</v>
      </c>
      <c r="D596" s="8" t="s">
        <v>17</v>
      </c>
      <c r="E596" s="9" t="s">
        <v>18</v>
      </c>
      <c r="F596" s="10" t="s">
        <v>19</v>
      </c>
      <c r="G596" s="11" t="s">
        <v>20</v>
      </c>
      <c r="H596" s="12" t="s">
        <v>21</v>
      </c>
      <c r="I596" s="65" t="s">
        <v>22</v>
      </c>
      <c r="J596" s="136"/>
      <c r="K596" s="136"/>
      <c r="L596" s="137"/>
      <c r="M596" s="131"/>
      <c r="N596" s="144"/>
      <c r="O596" s="131"/>
      <c r="P596" s="131"/>
      <c r="Q596" s="134"/>
    </row>
    <row r="597" spans="1:18" x14ac:dyDescent="0.25">
      <c r="A597" s="13">
        <v>1</v>
      </c>
      <c r="B597" s="13" t="s">
        <v>473</v>
      </c>
      <c r="C597" s="13" t="s">
        <v>474</v>
      </c>
      <c r="D597" s="13" t="s">
        <v>36</v>
      </c>
      <c r="E597" s="13" t="s">
        <v>475</v>
      </c>
      <c r="F597" s="13"/>
      <c r="G597" s="13"/>
      <c r="H597" s="13">
        <v>1</v>
      </c>
      <c r="I597" s="66">
        <f>SUM(F597:H597)</f>
        <v>1</v>
      </c>
      <c r="J597" s="15">
        <f>O597*Q597</f>
        <v>2295.0986240000002</v>
      </c>
      <c r="K597" s="15">
        <f>J597*I597</f>
        <v>2295.0986240000002</v>
      </c>
      <c r="L597" s="13">
        <v>52188</v>
      </c>
      <c r="M597" s="102" t="s">
        <v>688</v>
      </c>
      <c r="N597" s="13">
        <v>13</v>
      </c>
      <c r="O597" s="13">
        <v>14.56</v>
      </c>
      <c r="P597" s="13">
        <v>10.74</v>
      </c>
      <c r="Q597" s="16">
        <v>157.63040000000001</v>
      </c>
    </row>
    <row r="598" spans="1:18" x14ac:dyDescent="0.25">
      <c r="A598" s="13">
        <v>2</v>
      </c>
      <c r="B598" s="13" t="s">
        <v>476</v>
      </c>
      <c r="C598" s="13" t="s">
        <v>477</v>
      </c>
      <c r="D598" s="13" t="s">
        <v>31</v>
      </c>
      <c r="E598" s="13" t="s">
        <v>475</v>
      </c>
      <c r="F598" s="13"/>
      <c r="G598" s="13"/>
      <c r="H598" s="13">
        <v>48</v>
      </c>
      <c r="I598" s="66">
        <f>SUM(F598:H598)</f>
        <v>48</v>
      </c>
      <c r="J598" s="15">
        <f>O598*Q598</f>
        <v>4342.7175200000001</v>
      </c>
      <c r="K598" s="15">
        <f>J598*I598</f>
        <v>208450.44096000001</v>
      </c>
      <c r="L598" s="13">
        <v>52188</v>
      </c>
      <c r="M598" s="103"/>
      <c r="N598" s="13">
        <v>24.6</v>
      </c>
      <c r="O598" s="13">
        <v>27.55</v>
      </c>
      <c r="P598" s="13">
        <v>16.829999999999998</v>
      </c>
      <c r="Q598" s="16">
        <v>157.63040000000001</v>
      </c>
    </row>
    <row r="599" spans="1:18" x14ac:dyDescent="0.25">
      <c r="A599" s="123" t="s">
        <v>5</v>
      </c>
      <c r="B599" s="123"/>
      <c r="C599" s="123"/>
      <c r="D599" s="123"/>
      <c r="E599" s="123"/>
      <c r="F599" s="123"/>
      <c r="G599" s="123"/>
      <c r="H599" s="123"/>
      <c r="I599" s="123"/>
      <c r="J599" s="123"/>
      <c r="K599" s="60">
        <f>SUM(K597:K598)</f>
        <v>210745.53958400001</v>
      </c>
      <c r="L599" s="13"/>
      <c r="M599" s="103"/>
      <c r="N599" s="13"/>
      <c r="O599" s="13"/>
      <c r="P599" s="13"/>
      <c r="Q599" s="13"/>
      <c r="R599" s="36"/>
    </row>
    <row r="600" spans="1:18" x14ac:dyDescent="0.25">
      <c r="A600" s="123" t="s">
        <v>669</v>
      </c>
      <c r="B600" s="123"/>
      <c r="C600" s="123"/>
      <c r="D600" s="123"/>
      <c r="E600" s="123"/>
      <c r="F600" s="123"/>
      <c r="G600" s="123"/>
      <c r="H600" s="123"/>
      <c r="I600" s="123"/>
      <c r="J600" s="123"/>
      <c r="K600" s="15"/>
      <c r="L600" s="13"/>
      <c r="M600" s="104"/>
      <c r="N600" s="13"/>
      <c r="O600" s="13"/>
      <c r="P600" s="13"/>
      <c r="Q600" s="13"/>
      <c r="R600" s="36"/>
    </row>
    <row r="601" spans="1:18" x14ac:dyDescent="0.25">
      <c r="A601" s="36"/>
      <c r="B601" s="36"/>
      <c r="C601" s="36"/>
      <c r="D601" s="36"/>
      <c r="E601" s="36"/>
      <c r="F601" s="36"/>
      <c r="G601" s="36"/>
      <c r="H601" s="36"/>
      <c r="I601" s="70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1:18" x14ac:dyDescent="0.25">
      <c r="A602" s="36"/>
      <c r="B602" s="36"/>
      <c r="C602" s="36"/>
      <c r="D602" s="36"/>
      <c r="E602" s="36"/>
      <c r="F602" s="36"/>
      <c r="G602" s="36"/>
      <c r="H602" s="36"/>
      <c r="I602" s="70"/>
      <c r="J602" s="36"/>
      <c r="K602" s="36"/>
      <c r="L602" s="36"/>
      <c r="M602" s="36"/>
      <c r="N602" s="36"/>
      <c r="O602" s="36"/>
      <c r="P602" s="36"/>
      <c r="Q602" s="36"/>
      <c r="R602" s="36"/>
    </row>
    <row r="603" spans="1:18" x14ac:dyDescent="0.25">
      <c r="A603" s="36"/>
      <c r="B603" s="36"/>
      <c r="C603" s="36"/>
      <c r="D603" s="36"/>
      <c r="E603" s="36"/>
      <c r="F603" s="36"/>
      <c r="G603" s="36"/>
      <c r="H603" s="36"/>
      <c r="I603" s="70"/>
      <c r="J603" s="36"/>
      <c r="K603" s="36"/>
      <c r="L603" s="36"/>
      <c r="M603" s="36"/>
      <c r="N603" s="36"/>
      <c r="O603" s="36"/>
      <c r="P603" s="36"/>
      <c r="Q603" s="36"/>
      <c r="R603" s="36"/>
    </row>
    <row r="604" spans="1:18" x14ac:dyDescent="0.25">
      <c r="A604" s="36"/>
      <c r="B604" s="36"/>
      <c r="C604" s="36"/>
      <c r="D604" s="36"/>
      <c r="E604" s="36"/>
      <c r="F604" s="36"/>
      <c r="G604" s="36"/>
      <c r="H604" s="36"/>
      <c r="I604" s="70"/>
      <c r="J604" s="36"/>
      <c r="K604" s="36"/>
      <c r="L604" s="36"/>
      <c r="M604" s="36"/>
      <c r="N604" s="36"/>
      <c r="O604" s="36"/>
      <c r="P604" s="36"/>
      <c r="Q604" s="36"/>
      <c r="R604" s="36"/>
    </row>
    <row r="605" spans="1:18" x14ac:dyDescent="0.25">
      <c r="A605" s="36"/>
      <c r="B605" s="36"/>
      <c r="C605" s="36"/>
      <c r="D605" s="36"/>
      <c r="E605" s="36"/>
      <c r="F605" s="36"/>
      <c r="G605" s="36"/>
      <c r="H605" s="36"/>
      <c r="I605" s="70"/>
      <c r="J605" s="36"/>
      <c r="K605" s="36"/>
      <c r="L605" s="36"/>
      <c r="M605" s="36"/>
      <c r="N605" s="36"/>
      <c r="O605" s="36"/>
      <c r="P605" s="36"/>
      <c r="Q605" s="36"/>
      <c r="R605" s="36"/>
    </row>
    <row r="607" spans="1:18" x14ac:dyDescent="0.25">
      <c r="A607" s="132" t="s">
        <v>458</v>
      </c>
      <c r="B607" s="132"/>
      <c r="C607" s="132"/>
      <c r="D607" s="132"/>
      <c r="E607" s="132"/>
      <c r="F607" s="132"/>
      <c r="G607" s="132"/>
      <c r="H607" s="132"/>
      <c r="I607" s="132"/>
      <c r="J607" s="132"/>
      <c r="K607" s="132"/>
      <c r="L607" s="132"/>
      <c r="M607" s="1"/>
      <c r="N607" s="1"/>
      <c r="O607" s="1"/>
      <c r="P607" s="1"/>
      <c r="Q607" s="134" t="s">
        <v>2</v>
      </c>
    </row>
    <row r="608" spans="1:18" x14ac:dyDescent="0.25">
      <c r="A608" s="135" t="s">
        <v>478</v>
      </c>
      <c r="B608" s="135"/>
      <c r="C608" s="135"/>
      <c r="D608" s="135"/>
      <c r="E608" s="135"/>
      <c r="F608" s="135"/>
      <c r="G608" s="135"/>
      <c r="H608" s="135"/>
      <c r="I608" s="135"/>
      <c r="J608" s="2" t="s">
        <v>5</v>
      </c>
      <c r="K608" s="136" t="s">
        <v>6</v>
      </c>
      <c r="L608" s="137" t="s">
        <v>1</v>
      </c>
      <c r="M608" s="131" t="s">
        <v>7</v>
      </c>
      <c r="N608" s="3"/>
      <c r="O608" s="3"/>
      <c r="P608" s="4"/>
      <c r="Q608" s="134"/>
    </row>
    <row r="609" spans="1:17" x14ac:dyDescent="0.25">
      <c r="A609" s="5"/>
      <c r="B609" s="142" t="s">
        <v>8</v>
      </c>
      <c r="C609" s="142"/>
      <c r="D609" s="142"/>
      <c r="E609" s="142"/>
      <c r="F609" s="143" t="s">
        <v>9</v>
      </c>
      <c r="G609" s="143"/>
      <c r="H609" s="143"/>
      <c r="I609" s="64"/>
      <c r="J609" s="136" t="s">
        <v>10</v>
      </c>
      <c r="K609" s="136"/>
      <c r="L609" s="137"/>
      <c r="M609" s="131"/>
      <c r="N609" s="144" t="s">
        <v>11</v>
      </c>
      <c r="O609" s="131" t="s">
        <v>12</v>
      </c>
      <c r="P609" s="131" t="s">
        <v>13</v>
      </c>
      <c r="Q609" s="134"/>
    </row>
    <row r="610" spans="1:17" ht="26.25" x14ac:dyDescent="0.25">
      <c r="A610" s="5" t="s">
        <v>14</v>
      </c>
      <c r="B610" s="8" t="s">
        <v>15</v>
      </c>
      <c r="C610" s="8" t="s">
        <v>16</v>
      </c>
      <c r="D610" s="8" t="s">
        <v>17</v>
      </c>
      <c r="E610" s="9" t="s">
        <v>18</v>
      </c>
      <c r="F610" s="10" t="s">
        <v>19</v>
      </c>
      <c r="G610" s="11" t="s">
        <v>20</v>
      </c>
      <c r="H610" s="12" t="s">
        <v>21</v>
      </c>
      <c r="I610" s="65" t="s">
        <v>22</v>
      </c>
      <c r="J610" s="136"/>
      <c r="K610" s="136"/>
      <c r="L610" s="137"/>
      <c r="M610" s="131"/>
      <c r="N610" s="144"/>
      <c r="O610" s="131"/>
      <c r="P610" s="131"/>
      <c r="Q610" s="134"/>
    </row>
    <row r="611" spans="1:17" x14ac:dyDescent="0.25">
      <c r="A611" s="13">
        <v>1</v>
      </c>
      <c r="B611" s="13" t="s">
        <v>479</v>
      </c>
      <c r="C611" s="13" t="s">
        <v>480</v>
      </c>
      <c r="D611" s="13" t="s">
        <v>31</v>
      </c>
      <c r="E611" s="13" t="s">
        <v>481</v>
      </c>
      <c r="F611" s="13"/>
      <c r="G611" s="13"/>
      <c r="H611" s="13">
        <v>1</v>
      </c>
      <c r="I611" s="66">
        <f>SUM(F611:H611)</f>
        <v>1</v>
      </c>
      <c r="J611" s="15">
        <f>O611*Q611</f>
        <v>50600.934703999999</v>
      </c>
      <c r="K611" s="15">
        <f>J611*I611</f>
        <v>50600.934703999999</v>
      </c>
      <c r="L611" s="13">
        <v>52188</v>
      </c>
      <c r="M611" s="102" t="s">
        <v>689</v>
      </c>
      <c r="N611" s="13">
        <v>286.62</v>
      </c>
      <c r="O611" s="13">
        <v>321.01</v>
      </c>
      <c r="P611" s="13">
        <v>236.82</v>
      </c>
      <c r="Q611" s="16">
        <v>157.63040000000001</v>
      </c>
    </row>
    <row r="612" spans="1:17" x14ac:dyDescent="0.25">
      <c r="A612" s="13">
        <v>2</v>
      </c>
      <c r="B612" s="13" t="s">
        <v>482</v>
      </c>
      <c r="C612" s="13" t="s">
        <v>483</v>
      </c>
      <c r="D612" s="13" t="s">
        <v>31</v>
      </c>
      <c r="E612" s="13" t="s">
        <v>481</v>
      </c>
      <c r="F612" s="13"/>
      <c r="G612" s="13"/>
      <c r="H612" s="13">
        <v>2</v>
      </c>
      <c r="I612" s="66">
        <f t="shared" ref="I612:I614" si="62">SUM(F612:H612)</f>
        <v>2</v>
      </c>
      <c r="J612" s="15">
        <f t="shared" ref="J612:J614" si="63">O612*Q612</f>
        <v>56223.611072000007</v>
      </c>
      <c r="K612" s="15">
        <f t="shared" ref="K612:K614" si="64">J612*I612</f>
        <v>112447.22214400001</v>
      </c>
      <c r="L612" s="13">
        <v>52188</v>
      </c>
      <c r="M612" s="103"/>
      <c r="N612" s="13">
        <v>318.47000000000003</v>
      </c>
      <c r="O612" s="13">
        <v>356.68</v>
      </c>
      <c r="P612" s="13">
        <v>263.14</v>
      </c>
      <c r="Q612" s="16">
        <v>157.63040000000001</v>
      </c>
    </row>
    <row r="613" spans="1:17" x14ac:dyDescent="0.25">
      <c r="A613" s="13">
        <v>3</v>
      </c>
      <c r="B613" s="13" t="s">
        <v>484</v>
      </c>
      <c r="C613" s="13" t="s">
        <v>485</v>
      </c>
      <c r="D613" s="13" t="s">
        <v>36</v>
      </c>
      <c r="E613" s="13" t="s">
        <v>475</v>
      </c>
      <c r="F613" s="13"/>
      <c r="G613" s="13"/>
      <c r="H613" s="13">
        <v>3</v>
      </c>
      <c r="I613" s="66">
        <f t="shared" si="62"/>
        <v>3</v>
      </c>
      <c r="J613" s="15">
        <f t="shared" si="63"/>
        <v>9691.1169919999993</v>
      </c>
      <c r="K613" s="15">
        <f t="shared" si="64"/>
        <v>29073.350975999998</v>
      </c>
      <c r="L613" s="13">
        <v>52188</v>
      </c>
      <c r="M613" s="103"/>
      <c r="N613" s="13">
        <v>54.9</v>
      </c>
      <c r="O613" s="13">
        <v>61.48</v>
      </c>
      <c r="P613" s="13">
        <v>37.57</v>
      </c>
      <c r="Q613" s="16">
        <v>157.63040000000001</v>
      </c>
    </row>
    <row r="614" spans="1:17" x14ac:dyDescent="0.25">
      <c r="A614" s="13">
        <v>4</v>
      </c>
      <c r="B614" s="13" t="s">
        <v>486</v>
      </c>
      <c r="C614" s="13" t="s">
        <v>466</v>
      </c>
      <c r="D614" s="13" t="s">
        <v>36</v>
      </c>
      <c r="E614" s="13" t="s">
        <v>487</v>
      </c>
      <c r="F614" s="13"/>
      <c r="G614" s="13"/>
      <c r="H614" s="13">
        <v>12</v>
      </c>
      <c r="I614" s="66">
        <f t="shared" si="62"/>
        <v>12</v>
      </c>
      <c r="J614" s="15">
        <f t="shared" si="63"/>
        <v>7503.2070400000002</v>
      </c>
      <c r="K614" s="15">
        <f t="shared" si="64"/>
        <v>90038.484479999999</v>
      </c>
      <c r="L614" s="13">
        <v>52188</v>
      </c>
      <c r="M614" s="103"/>
      <c r="N614" s="13">
        <v>42.5</v>
      </c>
      <c r="O614" s="13">
        <v>47.6</v>
      </c>
      <c r="P614" s="13">
        <v>29.09</v>
      </c>
      <c r="Q614" s="16">
        <v>157.63040000000001</v>
      </c>
    </row>
    <row r="615" spans="1:17" x14ac:dyDescent="0.25">
      <c r="A615" s="123" t="s">
        <v>5</v>
      </c>
      <c r="B615" s="123"/>
      <c r="C615" s="123"/>
      <c r="D615" s="123"/>
      <c r="E615" s="123"/>
      <c r="F615" s="123"/>
      <c r="G615" s="123"/>
      <c r="H615" s="123"/>
      <c r="I615" s="123"/>
      <c r="J615" s="123"/>
      <c r="K615" s="60">
        <f>SUM(K611:K614)</f>
        <v>282159.99230400001</v>
      </c>
      <c r="L615" s="13"/>
      <c r="M615" s="103"/>
      <c r="N615" s="13"/>
      <c r="O615" s="13"/>
      <c r="P615" s="13"/>
      <c r="Q615" s="13"/>
    </row>
    <row r="616" spans="1:17" x14ac:dyDescent="0.25">
      <c r="A616" s="123" t="s">
        <v>669</v>
      </c>
      <c r="B616" s="123"/>
      <c r="C616" s="123"/>
      <c r="D616" s="123"/>
      <c r="E616" s="123"/>
      <c r="F616" s="123"/>
      <c r="G616" s="123"/>
      <c r="H616" s="123"/>
      <c r="I616" s="123"/>
      <c r="J616" s="123"/>
      <c r="K616" s="15"/>
      <c r="L616" s="13"/>
      <c r="M616" s="104"/>
      <c r="N616" s="13"/>
      <c r="O616" s="13"/>
      <c r="P616" s="13"/>
      <c r="Q616" s="13"/>
    </row>
    <row r="618" spans="1:17" x14ac:dyDescent="0.25">
      <c r="A618" s="132" t="s">
        <v>458</v>
      </c>
      <c r="B618" s="132"/>
      <c r="C618" s="132"/>
      <c r="D618" s="132"/>
      <c r="E618" s="132"/>
      <c r="F618" s="132"/>
      <c r="G618" s="132"/>
      <c r="H618" s="132"/>
      <c r="I618" s="132"/>
      <c r="J618" s="132"/>
      <c r="K618" s="132"/>
      <c r="L618" s="132"/>
      <c r="M618" s="1"/>
      <c r="N618" s="1"/>
      <c r="O618" s="1"/>
      <c r="P618" s="1"/>
      <c r="Q618" s="134" t="s">
        <v>2</v>
      </c>
    </row>
    <row r="619" spans="1:17" x14ac:dyDescent="0.25">
      <c r="A619" s="135" t="s">
        <v>274</v>
      </c>
      <c r="B619" s="135"/>
      <c r="C619" s="135"/>
      <c r="D619" s="135"/>
      <c r="E619" s="135"/>
      <c r="F619" s="135"/>
      <c r="G619" s="135"/>
      <c r="H619" s="135"/>
      <c r="I619" s="135"/>
      <c r="J619" s="2" t="s">
        <v>5</v>
      </c>
      <c r="K619" s="136" t="s">
        <v>6</v>
      </c>
      <c r="L619" s="137" t="s">
        <v>1</v>
      </c>
      <c r="M619" s="131" t="s">
        <v>7</v>
      </c>
      <c r="N619" s="3"/>
      <c r="O619" s="3"/>
      <c r="P619" s="4"/>
      <c r="Q619" s="134"/>
    </row>
    <row r="620" spans="1:17" x14ac:dyDescent="0.25">
      <c r="A620" s="5"/>
      <c r="B620" s="142" t="s">
        <v>8</v>
      </c>
      <c r="C620" s="142"/>
      <c r="D620" s="142"/>
      <c r="E620" s="142"/>
      <c r="F620" s="143" t="s">
        <v>9</v>
      </c>
      <c r="G620" s="143"/>
      <c r="H620" s="143"/>
      <c r="I620" s="64"/>
      <c r="J620" s="136" t="s">
        <v>10</v>
      </c>
      <c r="K620" s="136"/>
      <c r="L620" s="137"/>
      <c r="M620" s="131"/>
      <c r="N620" s="144" t="s">
        <v>11</v>
      </c>
      <c r="O620" s="131" t="s">
        <v>12</v>
      </c>
      <c r="P620" s="131" t="s">
        <v>13</v>
      </c>
      <c r="Q620" s="134"/>
    </row>
    <row r="621" spans="1:17" ht="26.25" x14ac:dyDescent="0.25">
      <c r="A621" s="5" t="s">
        <v>14</v>
      </c>
      <c r="B621" s="8" t="s">
        <v>15</v>
      </c>
      <c r="C621" s="8" t="s">
        <v>16</v>
      </c>
      <c r="D621" s="8" t="s">
        <v>17</v>
      </c>
      <c r="E621" s="9" t="s">
        <v>18</v>
      </c>
      <c r="F621" s="10" t="s">
        <v>19</v>
      </c>
      <c r="G621" s="11" t="s">
        <v>20</v>
      </c>
      <c r="H621" s="12" t="s">
        <v>21</v>
      </c>
      <c r="I621" s="65" t="s">
        <v>22</v>
      </c>
      <c r="J621" s="136"/>
      <c r="K621" s="136"/>
      <c r="L621" s="137"/>
      <c r="M621" s="131"/>
      <c r="N621" s="144"/>
      <c r="O621" s="131"/>
      <c r="P621" s="131"/>
      <c r="Q621" s="134"/>
    </row>
    <row r="622" spans="1:17" x14ac:dyDescent="0.25">
      <c r="A622" s="13">
        <v>1</v>
      </c>
      <c r="B622" s="13" t="s">
        <v>488</v>
      </c>
      <c r="C622" s="13" t="s">
        <v>489</v>
      </c>
      <c r="D622" s="13" t="s">
        <v>490</v>
      </c>
      <c r="E622" s="13" t="s">
        <v>475</v>
      </c>
      <c r="F622" s="13"/>
      <c r="G622" s="13"/>
      <c r="H622" s="13">
        <v>100</v>
      </c>
      <c r="I622" s="66">
        <f>SUM(F622:H622)</f>
        <v>100</v>
      </c>
      <c r="J622" s="15">
        <f>O622*Q622</f>
        <v>8727.9952479999993</v>
      </c>
      <c r="K622" s="15">
        <f>J622*I622</f>
        <v>872799.5247999999</v>
      </c>
      <c r="L622" s="13">
        <v>52188</v>
      </c>
      <c r="M622" s="108" t="s">
        <v>690</v>
      </c>
      <c r="N622" s="13">
        <v>49.44</v>
      </c>
      <c r="O622" s="13">
        <v>55.37</v>
      </c>
      <c r="P622" s="13">
        <v>333.84</v>
      </c>
      <c r="Q622" s="16">
        <v>157.63040000000001</v>
      </c>
    </row>
    <row r="623" spans="1:17" x14ac:dyDescent="0.25">
      <c r="A623" s="13">
        <v>2</v>
      </c>
      <c r="B623" s="13" t="s">
        <v>491</v>
      </c>
      <c r="C623" s="13" t="s">
        <v>492</v>
      </c>
      <c r="D623" s="13" t="s">
        <v>493</v>
      </c>
      <c r="E623" s="13" t="s">
        <v>481</v>
      </c>
      <c r="F623" s="13"/>
      <c r="G623" s="13"/>
      <c r="H623" s="13">
        <v>9</v>
      </c>
      <c r="I623" s="66">
        <f t="shared" ref="I623:I624" si="65">SUM(F623:H623)</f>
        <v>9</v>
      </c>
      <c r="J623" s="15">
        <f t="shared" ref="J623:J624" si="66">O623*Q623</f>
        <v>8072.2527840000002</v>
      </c>
      <c r="K623" s="15">
        <f t="shared" ref="K623:K624" si="67">J623*I623</f>
        <v>72650.275055999999</v>
      </c>
      <c r="L623" s="13">
        <v>52188</v>
      </c>
      <c r="M623" s="109"/>
      <c r="N623" s="13">
        <v>45.73</v>
      </c>
      <c r="O623" s="13">
        <v>51.21</v>
      </c>
      <c r="P623" s="13">
        <v>37.78</v>
      </c>
      <c r="Q623" s="16">
        <v>157.63040000000001</v>
      </c>
    </row>
    <row r="624" spans="1:17" x14ac:dyDescent="0.25">
      <c r="A624" s="13">
        <v>3</v>
      </c>
      <c r="B624" s="13" t="s">
        <v>494</v>
      </c>
      <c r="C624" s="13" t="s">
        <v>492</v>
      </c>
      <c r="D624" s="13" t="s">
        <v>493</v>
      </c>
      <c r="E624" s="13" t="s">
        <v>481</v>
      </c>
      <c r="F624" s="13"/>
      <c r="G624" s="13"/>
      <c r="H624" s="13">
        <v>14</v>
      </c>
      <c r="I624" s="66">
        <f t="shared" si="65"/>
        <v>14</v>
      </c>
      <c r="J624" s="15">
        <f t="shared" si="66"/>
        <v>3575.057472</v>
      </c>
      <c r="K624" s="15">
        <f t="shared" si="67"/>
        <v>50050.804607999999</v>
      </c>
      <c r="L624" s="13">
        <v>52188</v>
      </c>
      <c r="M624" s="109"/>
      <c r="N624" s="13">
        <v>20.25</v>
      </c>
      <c r="O624" s="13">
        <v>22.68</v>
      </c>
      <c r="P624" s="13">
        <v>16.73</v>
      </c>
      <c r="Q624" s="16">
        <v>157.63040000000001</v>
      </c>
    </row>
    <row r="625" spans="1:18" x14ac:dyDescent="0.25">
      <c r="A625" s="123" t="s">
        <v>5</v>
      </c>
      <c r="B625" s="123"/>
      <c r="C625" s="123"/>
      <c r="D625" s="123"/>
      <c r="E625" s="123"/>
      <c r="F625" s="123"/>
      <c r="G625" s="123"/>
      <c r="H625" s="123"/>
      <c r="I625" s="123"/>
      <c r="J625" s="123"/>
      <c r="K625" s="60">
        <f>SUM(K622:K624)</f>
        <v>995500.60446399986</v>
      </c>
      <c r="L625" s="13"/>
      <c r="M625" s="109"/>
      <c r="N625" s="13"/>
      <c r="O625" s="13"/>
      <c r="P625" s="13"/>
      <c r="Q625" s="13"/>
    </row>
    <row r="626" spans="1:18" x14ac:dyDescent="0.25">
      <c r="A626" s="123" t="s">
        <v>669</v>
      </c>
      <c r="B626" s="123"/>
      <c r="C626" s="123"/>
      <c r="D626" s="123"/>
      <c r="E626" s="123"/>
      <c r="F626" s="123"/>
      <c r="G626" s="123"/>
      <c r="H626" s="123"/>
      <c r="I626" s="123"/>
      <c r="J626" s="123"/>
      <c r="K626" s="15"/>
      <c r="L626" s="13"/>
      <c r="M626" s="110"/>
      <c r="N626" s="13"/>
      <c r="O626" s="13"/>
      <c r="P626" s="13"/>
      <c r="Q626" s="13"/>
    </row>
    <row r="630" spans="1:18" x14ac:dyDescent="0.25">
      <c r="A630" s="132" t="s">
        <v>495</v>
      </c>
      <c r="B630" s="132"/>
      <c r="C630" s="132"/>
      <c r="D630" s="132"/>
      <c r="E630" s="132"/>
      <c r="F630" s="132"/>
      <c r="G630" s="132"/>
      <c r="H630" s="132"/>
      <c r="I630" s="132"/>
      <c r="J630" s="132"/>
      <c r="K630" s="132"/>
      <c r="L630" s="137" t="s">
        <v>1</v>
      </c>
      <c r="M630" s="1"/>
      <c r="N630" s="1"/>
      <c r="O630" s="1"/>
      <c r="P630" s="1"/>
      <c r="Q630" s="1"/>
      <c r="R630" s="134" t="s">
        <v>2</v>
      </c>
    </row>
    <row r="631" spans="1:18" x14ac:dyDescent="0.25">
      <c r="A631" s="135" t="s">
        <v>496</v>
      </c>
      <c r="B631" s="135"/>
      <c r="C631" s="135"/>
      <c r="D631" s="135"/>
      <c r="E631" s="135"/>
      <c r="F631" s="135"/>
      <c r="G631" s="135"/>
      <c r="H631" s="135"/>
      <c r="I631" s="135"/>
      <c r="J631" s="2" t="s">
        <v>5</v>
      </c>
      <c r="K631" s="136" t="s">
        <v>6</v>
      </c>
      <c r="L631" s="137"/>
      <c r="M631" s="138" t="s">
        <v>205</v>
      </c>
      <c r="N631" s="131" t="s">
        <v>7</v>
      </c>
      <c r="O631" s="3"/>
      <c r="P631" s="3"/>
      <c r="Q631" s="4"/>
      <c r="R631" s="134"/>
    </row>
    <row r="632" spans="1:18" x14ac:dyDescent="0.25">
      <c r="A632" s="5"/>
      <c r="B632" s="142" t="s">
        <v>140</v>
      </c>
      <c r="C632" s="142"/>
      <c r="D632" s="142"/>
      <c r="E632" s="142"/>
      <c r="F632" s="143" t="s">
        <v>9</v>
      </c>
      <c r="G632" s="143"/>
      <c r="H632" s="143"/>
      <c r="I632" s="64"/>
      <c r="J632" s="136" t="s">
        <v>10</v>
      </c>
      <c r="K632" s="136"/>
      <c r="L632" s="137"/>
      <c r="M632" s="138"/>
      <c r="N632" s="131"/>
      <c r="O632" s="144" t="s">
        <v>11</v>
      </c>
      <c r="P632" s="131" t="s">
        <v>12</v>
      </c>
      <c r="Q632" s="131" t="s">
        <v>13</v>
      </c>
      <c r="R632" s="134"/>
    </row>
    <row r="633" spans="1:18" ht="26.25" x14ac:dyDescent="0.25">
      <c r="A633" s="5" t="s">
        <v>14</v>
      </c>
      <c r="B633" s="8" t="s">
        <v>15</v>
      </c>
      <c r="C633" s="8" t="s">
        <v>16</v>
      </c>
      <c r="D633" s="8" t="s">
        <v>17</v>
      </c>
      <c r="E633" s="9" t="s">
        <v>18</v>
      </c>
      <c r="F633" s="10" t="s">
        <v>19</v>
      </c>
      <c r="G633" s="11" t="s">
        <v>20</v>
      </c>
      <c r="H633" s="12" t="s">
        <v>21</v>
      </c>
      <c r="I633" s="65" t="s">
        <v>22</v>
      </c>
      <c r="J633" s="136"/>
      <c r="K633" s="136"/>
      <c r="L633" s="137"/>
      <c r="M633" s="138"/>
      <c r="N633" s="131"/>
      <c r="O633" s="144"/>
      <c r="P633" s="131"/>
      <c r="Q633" s="131"/>
      <c r="R633" s="134"/>
    </row>
    <row r="634" spans="1:18" x14ac:dyDescent="0.25">
      <c r="A634" s="13">
        <v>1</v>
      </c>
      <c r="B634" s="13" t="s">
        <v>497</v>
      </c>
      <c r="C634" s="13" t="s">
        <v>498</v>
      </c>
      <c r="D634" s="13" t="s">
        <v>499</v>
      </c>
      <c r="E634" s="13" t="s">
        <v>26</v>
      </c>
      <c r="F634" s="13"/>
      <c r="G634" s="13"/>
      <c r="H634" s="13">
        <v>8</v>
      </c>
      <c r="I634" s="66">
        <f>SUM(F634:H634)</f>
        <v>8</v>
      </c>
      <c r="J634" s="15">
        <f>P634*R634</f>
        <v>272.70059200000003</v>
      </c>
      <c r="K634" s="15">
        <f>J634*I634</f>
        <v>2181.6047360000002</v>
      </c>
      <c r="L634" s="13">
        <v>52001</v>
      </c>
      <c r="M634" s="23">
        <v>46391</v>
      </c>
      <c r="N634" s="102" t="s">
        <v>691</v>
      </c>
      <c r="O634" s="13">
        <v>1.55</v>
      </c>
      <c r="P634" s="13">
        <v>1.73</v>
      </c>
      <c r="Q634" s="13">
        <v>1.28</v>
      </c>
      <c r="R634" s="16">
        <v>157.63040000000001</v>
      </c>
    </row>
    <row r="635" spans="1:18" x14ac:dyDescent="0.25">
      <c r="A635" s="13">
        <v>2</v>
      </c>
      <c r="B635" s="13" t="s">
        <v>500</v>
      </c>
      <c r="C635" s="13" t="s">
        <v>501</v>
      </c>
      <c r="D635" s="13" t="s">
        <v>502</v>
      </c>
      <c r="E635" s="13" t="s">
        <v>475</v>
      </c>
      <c r="F635" s="13"/>
      <c r="G635" s="13"/>
      <c r="H635" s="13">
        <v>17</v>
      </c>
      <c r="I635" s="66">
        <f t="shared" ref="I635:I645" si="68">SUM(F635:H635)</f>
        <v>17</v>
      </c>
      <c r="J635" s="15">
        <f t="shared" ref="J635:J645" si="69">P635*R635</f>
        <v>3642.8385440000002</v>
      </c>
      <c r="K635" s="15">
        <f t="shared" ref="K635:K645" si="70">J635*I635</f>
        <v>61928.255248000001</v>
      </c>
      <c r="L635" s="13">
        <v>52001</v>
      </c>
      <c r="M635" s="23">
        <v>46756</v>
      </c>
      <c r="N635" s="103"/>
      <c r="O635" s="13">
        <v>20.64</v>
      </c>
      <c r="P635" s="13">
        <v>23.11</v>
      </c>
      <c r="Q635" s="13">
        <v>17.05</v>
      </c>
      <c r="R635" s="16">
        <v>157.63040000000001</v>
      </c>
    </row>
    <row r="636" spans="1:18" x14ac:dyDescent="0.25">
      <c r="A636" s="13">
        <v>3</v>
      </c>
      <c r="B636" s="13" t="s">
        <v>503</v>
      </c>
      <c r="C636" s="13" t="s">
        <v>501</v>
      </c>
      <c r="D636" s="13" t="s">
        <v>502</v>
      </c>
      <c r="E636" s="13" t="s">
        <v>26</v>
      </c>
      <c r="F636" s="13"/>
      <c r="G636" s="13"/>
      <c r="H636" s="13">
        <v>709</v>
      </c>
      <c r="I636" s="66">
        <f t="shared" si="68"/>
        <v>709</v>
      </c>
      <c r="J636" s="15">
        <f t="shared" si="69"/>
        <v>74.716809600000005</v>
      </c>
      <c r="K636" s="15">
        <f t="shared" si="70"/>
        <v>52974.218006400006</v>
      </c>
      <c r="L636" s="13">
        <v>52001</v>
      </c>
      <c r="M636" s="23">
        <v>46756</v>
      </c>
      <c r="N636" s="103"/>
      <c r="O636" s="13">
        <v>0.43</v>
      </c>
      <c r="P636" s="13">
        <v>0.47399999999999998</v>
      </c>
      <c r="Q636" s="13">
        <v>0.35</v>
      </c>
      <c r="R636" s="16">
        <v>157.63040000000001</v>
      </c>
    </row>
    <row r="637" spans="1:18" x14ac:dyDescent="0.25">
      <c r="A637" s="13">
        <v>4</v>
      </c>
      <c r="B637" s="13" t="s">
        <v>504</v>
      </c>
      <c r="C637" s="13" t="s">
        <v>501</v>
      </c>
      <c r="D637" s="13" t="s">
        <v>502</v>
      </c>
      <c r="E637" s="13" t="s">
        <v>26</v>
      </c>
      <c r="F637" s="13"/>
      <c r="G637" s="13"/>
      <c r="H637" s="13">
        <v>107</v>
      </c>
      <c r="I637" s="66">
        <f t="shared" si="68"/>
        <v>107</v>
      </c>
      <c r="J637" s="15">
        <f t="shared" si="69"/>
        <v>111.91758400000001</v>
      </c>
      <c r="K637" s="15">
        <f t="shared" si="70"/>
        <v>11975.181488</v>
      </c>
      <c r="L637" s="13">
        <v>52002</v>
      </c>
      <c r="M637" s="23">
        <v>46757</v>
      </c>
      <c r="N637" s="103"/>
      <c r="O637" s="13">
        <v>0.63</v>
      </c>
      <c r="P637" s="13">
        <v>0.71</v>
      </c>
      <c r="Q637" s="13">
        <v>0.52</v>
      </c>
      <c r="R637" s="16">
        <v>157.63040000000001</v>
      </c>
    </row>
    <row r="638" spans="1:18" x14ac:dyDescent="0.25">
      <c r="A638" s="13">
        <v>5</v>
      </c>
      <c r="B638" s="13" t="s">
        <v>500</v>
      </c>
      <c r="C638" s="13" t="s">
        <v>505</v>
      </c>
      <c r="D638" s="13" t="s">
        <v>502</v>
      </c>
      <c r="E638" s="13" t="s">
        <v>475</v>
      </c>
      <c r="F638" s="13"/>
      <c r="G638" s="13"/>
      <c r="H638" s="13">
        <v>29</v>
      </c>
      <c r="I638" s="66">
        <f t="shared" si="68"/>
        <v>29</v>
      </c>
      <c r="J638" s="15">
        <f t="shared" si="69"/>
        <v>3642.8385440000002</v>
      </c>
      <c r="K638" s="15">
        <f t="shared" si="70"/>
        <v>105642.31777600001</v>
      </c>
      <c r="L638" s="13">
        <v>52152</v>
      </c>
      <c r="M638" s="23">
        <v>46757</v>
      </c>
      <c r="N638" s="103"/>
      <c r="O638" s="13">
        <v>20.64</v>
      </c>
      <c r="P638" s="13">
        <v>23.11</v>
      </c>
      <c r="Q638" s="13">
        <v>17.05</v>
      </c>
      <c r="R638" s="16">
        <v>157.63040000000001</v>
      </c>
    </row>
    <row r="639" spans="1:18" x14ac:dyDescent="0.25">
      <c r="A639" s="13">
        <v>6</v>
      </c>
      <c r="B639" s="13" t="s">
        <v>506</v>
      </c>
      <c r="C639" s="13" t="s">
        <v>505</v>
      </c>
      <c r="D639" s="13" t="s">
        <v>502</v>
      </c>
      <c r="E639" s="13" t="s">
        <v>475</v>
      </c>
      <c r="F639" s="13"/>
      <c r="G639" s="13"/>
      <c r="H639" s="13">
        <v>2</v>
      </c>
      <c r="I639" s="66">
        <f t="shared" si="68"/>
        <v>2</v>
      </c>
      <c r="J639" s="15">
        <f t="shared" si="69"/>
        <v>5345.2468639999997</v>
      </c>
      <c r="K639" s="15">
        <f t="shared" si="70"/>
        <v>10690.493727999999</v>
      </c>
      <c r="L639" s="13">
        <v>52152</v>
      </c>
      <c r="M639" s="23">
        <v>43101</v>
      </c>
      <c r="N639" s="103"/>
      <c r="O639" s="13">
        <v>30.280999999999999</v>
      </c>
      <c r="P639" s="13">
        <v>33.909999999999997</v>
      </c>
      <c r="Q639" s="13">
        <v>25.01</v>
      </c>
      <c r="R639" s="16">
        <v>157.63040000000001</v>
      </c>
    </row>
    <row r="640" spans="1:18" x14ac:dyDescent="0.25">
      <c r="A640" s="13">
        <v>7</v>
      </c>
      <c r="B640" s="13" t="s">
        <v>503</v>
      </c>
      <c r="C640" s="13" t="s">
        <v>505</v>
      </c>
      <c r="D640" s="13" t="s">
        <v>502</v>
      </c>
      <c r="E640" s="13" t="s">
        <v>26</v>
      </c>
      <c r="F640" s="13"/>
      <c r="G640" s="13"/>
      <c r="H640" s="13">
        <v>270</v>
      </c>
      <c r="I640" s="66">
        <f t="shared" si="68"/>
        <v>270</v>
      </c>
      <c r="J640" s="15">
        <f t="shared" si="69"/>
        <v>74.716809600000005</v>
      </c>
      <c r="K640" s="15">
        <f t="shared" si="70"/>
        <v>20173.538592000001</v>
      </c>
      <c r="L640" s="13">
        <v>52152</v>
      </c>
      <c r="M640" s="23">
        <v>46757</v>
      </c>
      <c r="N640" s="103"/>
      <c r="O640" s="13">
        <v>0.43</v>
      </c>
      <c r="P640" s="13">
        <v>0.47399999999999998</v>
      </c>
      <c r="Q640" s="13">
        <v>0.35</v>
      </c>
      <c r="R640" s="16">
        <v>157.63040000000001</v>
      </c>
    </row>
    <row r="641" spans="1:19" x14ac:dyDescent="0.25">
      <c r="A641" s="13">
        <v>8</v>
      </c>
      <c r="B641" s="13" t="s">
        <v>507</v>
      </c>
      <c r="C641" s="13" t="s">
        <v>508</v>
      </c>
      <c r="D641" s="13" t="s">
        <v>509</v>
      </c>
      <c r="E641" s="13" t="s">
        <v>243</v>
      </c>
      <c r="F641" s="13"/>
      <c r="G641" s="13"/>
      <c r="H641" s="13">
        <v>12</v>
      </c>
      <c r="I641" s="66">
        <f t="shared" si="68"/>
        <v>12</v>
      </c>
      <c r="J641" s="15">
        <f t="shared" si="69"/>
        <v>1248.4327680000001</v>
      </c>
      <c r="K641" s="15">
        <f t="shared" si="70"/>
        <v>14981.193216000001</v>
      </c>
      <c r="L641" s="13">
        <v>52152</v>
      </c>
      <c r="M641" s="13" t="s">
        <v>510</v>
      </c>
      <c r="N641" s="103"/>
      <c r="O641" s="13">
        <v>7.0730000000000004</v>
      </c>
      <c r="P641" s="13">
        <v>7.92</v>
      </c>
      <c r="Q641" s="13">
        <v>7.19</v>
      </c>
      <c r="R641" s="16">
        <v>157.63040000000001</v>
      </c>
    </row>
    <row r="642" spans="1:19" x14ac:dyDescent="0.25">
      <c r="A642" s="13">
        <v>9</v>
      </c>
      <c r="B642" s="13" t="s">
        <v>511</v>
      </c>
      <c r="C642" s="13" t="s">
        <v>512</v>
      </c>
      <c r="D642" s="13" t="s">
        <v>513</v>
      </c>
      <c r="E642" s="13" t="s">
        <v>514</v>
      </c>
      <c r="F642" s="13"/>
      <c r="G642" s="13"/>
      <c r="H642" s="13">
        <v>1</v>
      </c>
      <c r="I642" s="66">
        <f t="shared" si="68"/>
        <v>1</v>
      </c>
      <c r="J642" s="15">
        <f t="shared" si="69"/>
        <v>3721.6537440000002</v>
      </c>
      <c r="K642" s="15">
        <f t="shared" si="70"/>
        <v>3721.6537440000002</v>
      </c>
      <c r="L642" s="13">
        <v>52152</v>
      </c>
      <c r="M642" s="13" t="s">
        <v>515</v>
      </c>
      <c r="N642" s="103"/>
      <c r="O642" s="13">
        <v>21.08</v>
      </c>
      <c r="P642" s="13">
        <v>23.61</v>
      </c>
      <c r="Q642" s="13">
        <v>8.32</v>
      </c>
      <c r="R642" s="16">
        <v>157.63040000000001</v>
      </c>
    </row>
    <row r="643" spans="1:19" x14ac:dyDescent="0.25">
      <c r="A643" s="13">
        <v>10</v>
      </c>
      <c r="B643" s="13" t="s">
        <v>516</v>
      </c>
      <c r="C643" s="13" t="s">
        <v>512</v>
      </c>
      <c r="D643" s="13" t="s">
        <v>513</v>
      </c>
      <c r="E643" s="13" t="s">
        <v>514</v>
      </c>
      <c r="F643" s="13"/>
      <c r="G643" s="13"/>
      <c r="H643" s="13">
        <v>2</v>
      </c>
      <c r="I643" s="66">
        <f t="shared" si="68"/>
        <v>2</v>
      </c>
      <c r="J643" s="15">
        <f t="shared" si="69"/>
        <v>1860.0387200000002</v>
      </c>
      <c r="K643" s="15">
        <f t="shared" si="70"/>
        <v>3720.0774400000005</v>
      </c>
      <c r="L643" s="13">
        <v>52152</v>
      </c>
      <c r="M643" s="23">
        <v>47000</v>
      </c>
      <c r="N643" s="103"/>
      <c r="O643" s="13">
        <v>10.54</v>
      </c>
      <c r="P643" s="13">
        <v>11.8</v>
      </c>
      <c r="Q643" s="13">
        <v>4.16</v>
      </c>
      <c r="R643" s="16">
        <v>157.63040000000001</v>
      </c>
    </row>
    <row r="644" spans="1:19" x14ac:dyDescent="0.25">
      <c r="A644" s="13">
        <v>11</v>
      </c>
      <c r="B644" s="13" t="s">
        <v>517</v>
      </c>
      <c r="C644" s="13" t="s">
        <v>518</v>
      </c>
      <c r="D644" s="13" t="s">
        <v>34</v>
      </c>
      <c r="E644" s="13" t="s">
        <v>202</v>
      </c>
      <c r="F644" s="13"/>
      <c r="G644" s="13"/>
      <c r="H644" s="13">
        <v>8</v>
      </c>
      <c r="I644" s="66">
        <f t="shared" si="68"/>
        <v>8</v>
      </c>
      <c r="J644" s="15">
        <f t="shared" si="69"/>
        <v>176.54604800000001</v>
      </c>
      <c r="K644" s="15">
        <f t="shared" si="70"/>
        <v>1412.3683840000001</v>
      </c>
      <c r="L644" s="13">
        <v>52152</v>
      </c>
      <c r="M644" s="23">
        <v>46395</v>
      </c>
      <c r="N644" s="103"/>
      <c r="O644" s="13">
        <v>1</v>
      </c>
      <c r="P644" s="13">
        <v>1.1200000000000001</v>
      </c>
      <c r="Q644" s="13">
        <v>1.01</v>
      </c>
      <c r="R644" s="16">
        <v>157.63040000000001</v>
      </c>
    </row>
    <row r="645" spans="1:19" x14ac:dyDescent="0.25">
      <c r="A645" s="13">
        <v>12</v>
      </c>
      <c r="B645" s="13" t="s">
        <v>519</v>
      </c>
      <c r="C645" s="13" t="s">
        <v>520</v>
      </c>
      <c r="D645" s="13" t="s">
        <v>34</v>
      </c>
      <c r="E645" s="13" t="s">
        <v>202</v>
      </c>
      <c r="F645" s="13"/>
      <c r="G645" s="13"/>
      <c r="H645" s="13">
        <v>2</v>
      </c>
      <c r="I645" s="66">
        <f t="shared" si="68"/>
        <v>2</v>
      </c>
      <c r="J645" s="15">
        <f t="shared" si="69"/>
        <v>176.54604800000001</v>
      </c>
      <c r="K645" s="15">
        <f t="shared" si="70"/>
        <v>353.09209600000003</v>
      </c>
      <c r="L645" s="13">
        <v>52152</v>
      </c>
      <c r="M645" s="23">
        <v>46600</v>
      </c>
      <c r="N645" s="103"/>
      <c r="O645" s="13">
        <v>1</v>
      </c>
      <c r="P645" s="13">
        <v>1.1200000000000001</v>
      </c>
      <c r="Q645" s="13">
        <v>1.01</v>
      </c>
      <c r="R645" s="16">
        <v>157.63040000000001</v>
      </c>
    </row>
    <row r="646" spans="1:19" x14ac:dyDescent="0.25">
      <c r="A646" s="123" t="s">
        <v>5</v>
      </c>
      <c r="B646" s="123"/>
      <c r="C646" s="123"/>
      <c r="D646" s="123"/>
      <c r="E646" s="123"/>
      <c r="F646" s="123"/>
      <c r="G646" s="123"/>
      <c r="H646" s="123"/>
      <c r="I646" s="123"/>
      <c r="J646" s="123"/>
      <c r="K646" s="60">
        <f>SUM(K634:K645)</f>
        <v>289753.99445439997</v>
      </c>
      <c r="L646" s="13"/>
      <c r="M646" s="13"/>
      <c r="N646" s="103"/>
      <c r="O646" s="13"/>
      <c r="P646" s="13"/>
      <c r="Q646" s="13"/>
    </row>
    <row r="647" spans="1:19" x14ac:dyDescent="0.25">
      <c r="A647" s="123" t="s">
        <v>669</v>
      </c>
      <c r="B647" s="123"/>
      <c r="C647" s="123"/>
      <c r="D647" s="123"/>
      <c r="E647" s="123"/>
      <c r="F647" s="123"/>
      <c r="G647" s="123"/>
      <c r="H647" s="123"/>
      <c r="I647" s="123"/>
      <c r="J647" s="123"/>
      <c r="K647" s="15"/>
      <c r="L647" s="13"/>
      <c r="M647" s="13"/>
      <c r="N647" s="104"/>
      <c r="O647" s="13"/>
      <c r="P647" s="13"/>
      <c r="Q647" s="13"/>
    </row>
    <row r="650" spans="1:19" x14ac:dyDescent="0.25">
      <c r="A650" s="132" t="s">
        <v>521</v>
      </c>
      <c r="B650" s="132"/>
      <c r="C650" s="132"/>
      <c r="D650" s="132"/>
      <c r="E650" s="132"/>
      <c r="F650" s="132"/>
      <c r="G650" s="132"/>
      <c r="H650" s="132"/>
      <c r="I650" s="132"/>
      <c r="J650" s="132"/>
      <c r="K650" s="132"/>
      <c r="L650" s="132"/>
      <c r="M650" s="1"/>
      <c r="N650" s="1"/>
      <c r="O650" s="1"/>
      <c r="P650" s="1"/>
      <c r="Q650" s="1"/>
      <c r="R650" s="134" t="s">
        <v>2</v>
      </c>
      <c r="S650" s="139" t="s">
        <v>522</v>
      </c>
    </row>
    <row r="651" spans="1:19" x14ac:dyDescent="0.25">
      <c r="A651" s="135" t="s">
        <v>496</v>
      </c>
      <c r="B651" s="135"/>
      <c r="C651" s="135"/>
      <c r="D651" s="135"/>
      <c r="E651" s="135"/>
      <c r="F651" s="135"/>
      <c r="G651" s="135"/>
      <c r="H651" s="135"/>
      <c r="I651" s="135"/>
      <c r="J651" s="2" t="s">
        <v>5</v>
      </c>
      <c r="K651" s="136" t="s">
        <v>6</v>
      </c>
      <c r="L651" s="137" t="s">
        <v>1</v>
      </c>
      <c r="M651" s="138" t="s">
        <v>205</v>
      </c>
      <c r="N651" s="131" t="s">
        <v>7</v>
      </c>
      <c r="O651" s="3"/>
      <c r="P651" s="3"/>
      <c r="Q651" s="4"/>
      <c r="R651" s="134"/>
      <c r="S651" s="140"/>
    </row>
    <row r="652" spans="1:19" x14ac:dyDescent="0.25">
      <c r="A652" s="5"/>
      <c r="B652" s="142" t="s">
        <v>140</v>
      </c>
      <c r="C652" s="142"/>
      <c r="D652" s="142"/>
      <c r="E652" s="142"/>
      <c r="F652" s="143" t="s">
        <v>9</v>
      </c>
      <c r="G652" s="143"/>
      <c r="H652" s="143"/>
      <c r="I652" s="64"/>
      <c r="J652" s="136" t="s">
        <v>10</v>
      </c>
      <c r="K652" s="136"/>
      <c r="L652" s="137"/>
      <c r="M652" s="138"/>
      <c r="N652" s="131"/>
      <c r="O652" s="144" t="s">
        <v>11</v>
      </c>
      <c r="P652" s="131" t="s">
        <v>12</v>
      </c>
      <c r="Q652" s="131" t="s">
        <v>13</v>
      </c>
      <c r="R652" s="134"/>
      <c r="S652" s="140"/>
    </row>
    <row r="653" spans="1:19" ht="26.25" x14ac:dyDescent="0.25">
      <c r="A653" s="5" t="s">
        <v>14</v>
      </c>
      <c r="B653" s="8" t="s">
        <v>15</v>
      </c>
      <c r="C653" s="8" t="s">
        <v>16</v>
      </c>
      <c r="D653" s="8" t="s">
        <v>17</v>
      </c>
      <c r="E653" s="9" t="s">
        <v>18</v>
      </c>
      <c r="F653" s="10" t="s">
        <v>19</v>
      </c>
      <c r="G653" s="11" t="s">
        <v>20</v>
      </c>
      <c r="H653" s="12" t="s">
        <v>21</v>
      </c>
      <c r="I653" s="65" t="s">
        <v>22</v>
      </c>
      <c r="J653" s="136"/>
      <c r="K653" s="136"/>
      <c r="L653" s="137"/>
      <c r="M653" s="138"/>
      <c r="N653" s="131"/>
      <c r="O653" s="144"/>
      <c r="P653" s="131"/>
      <c r="Q653" s="131"/>
      <c r="R653" s="134"/>
      <c r="S653" s="141"/>
    </row>
    <row r="654" spans="1:19" x14ac:dyDescent="0.25">
      <c r="A654" s="13">
        <v>1</v>
      </c>
      <c r="B654" s="13" t="s">
        <v>523</v>
      </c>
      <c r="C654" s="13" t="s">
        <v>524</v>
      </c>
      <c r="D654" s="37" t="s">
        <v>490</v>
      </c>
      <c r="E654" s="13" t="s">
        <v>475</v>
      </c>
      <c r="F654" s="13"/>
      <c r="G654" s="13"/>
      <c r="H654" s="13">
        <v>5</v>
      </c>
      <c r="I654" s="66">
        <f t="shared" ref="I654:I665" si="71">SUM(F654:H654)</f>
        <v>5</v>
      </c>
      <c r="J654" s="15">
        <f t="shared" ref="J654:J665" si="72">P654*R654</f>
        <v>5204.9558080000006</v>
      </c>
      <c r="K654" s="15">
        <f t="shared" ref="K654:K665" si="73">J654*I654</f>
        <v>26024.779040000001</v>
      </c>
      <c r="L654" s="13">
        <v>52188</v>
      </c>
      <c r="M654" s="13" t="s">
        <v>525</v>
      </c>
      <c r="N654" s="102" t="s">
        <v>692</v>
      </c>
      <c r="O654" s="13">
        <v>29.48</v>
      </c>
      <c r="P654" s="13">
        <v>33.020000000000003</v>
      </c>
      <c r="Q654" s="13">
        <v>11.64</v>
      </c>
      <c r="R654" s="16">
        <v>157.63040000000001</v>
      </c>
      <c r="S654" s="13"/>
    </row>
    <row r="655" spans="1:19" ht="30" x14ac:dyDescent="0.25">
      <c r="A655" s="13">
        <v>2</v>
      </c>
      <c r="B655" s="13" t="s">
        <v>526</v>
      </c>
      <c r="C655" s="13" t="s">
        <v>527</v>
      </c>
      <c r="D655" s="37" t="s">
        <v>528</v>
      </c>
      <c r="E655" s="13" t="s">
        <v>487</v>
      </c>
      <c r="F655" s="13"/>
      <c r="G655" s="13"/>
      <c r="H655" s="13">
        <v>4</v>
      </c>
      <c r="I655" s="66">
        <f t="shared" si="71"/>
        <v>4</v>
      </c>
      <c r="J655" s="15">
        <f t="shared" si="72"/>
        <v>1604.6774720000001</v>
      </c>
      <c r="K655" s="15">
        <f t="shared" si="73"/>
        <v>6418.7098880000003</v>
      </c>
      <c r="L655" s="13">
        <v>52188</v>
      </c>
      <c r="M655" s="23">
        <v>46729</v>
      </c>
      <c r="N655" s="103"/>
      <c r="O655" s="13">
        <v>9.08</v>
      </c>
      <c r="P655" s="13">
        <v>10.18</v>
      </c>
      <c r="Q655" s="13">
        <v>7.51</v>
      </c>
      <c r="R655" s="16">
        <v>157.63040000000001</v>
      </c>
      <c r="S655" s="13"/>
    </row>
    <row r="656" spans="1:19" x14ac:dyDescent="0.25">
      <c r="A656" s="13">
        <v>3</v>
      </c>
      <c r="B656" s="13" t="s">
        <v>529</v>
      </c>
      <c r="C656" s="13" t="s">
        <v>530</v>
      </c>
      <c r="D656" s="37" t="s">
        <v>531</v>
      </c>
      <c r="E656" s="13" t="s">
        <v>475</v>
      </c>
      <c r="F656" s="13"/>
      <c r="G656" s="13"/>
      <c r="H656" s="13">
        <v>2</v>
      </c>
      <c r="I656" s="66">
        <f t="shared" si="71"/>
        <v>2</v>
      </c>
      <c r="J656" s="15">
        <f t="shared" si="72"/>
        <v>6620.4768000000004</v>
      </c>
      <c r="K656" s="15">
        <f t="shared" si="73"/>
        <v>13240.953600000001</v>
      </c>
      <c r="L656" s="13">
        <v>52188</v>
      </c>
      <c r="M656" s="23">
        <v>46762</v>
      </c>
      <c r="N656" s="103"/>
      <c r="O656" s="13">
        <v>37.5</v>
      </c>
      <c r="P656" s="13">
        <v>42</v>
      </c>
      <c r="Q656" s="13">
        <v>48.92</v>
      </c>
      <c r="R656" s="16">
        <v>157.63040000000001</v>
      </c>
      <c r="S656" s="13"/>
    </row>
    <row r="657" spans="1:19" ht="31.5" x14ac:dyDescent="0.25">
      <c r="A657" s="38">
        <v>4</v>
      </c>
      <c r="B657" s="39" t="s">
        <v>532</v>
      </c>
      <c r="C657" s="38" t="s">
        <v>533</v>
      </c>
      <c r="D657" s="39" t="s">
        <v>36</v>
      </c>
      <c r="E657" s="38" t="s">
        <v>475</v>
      </c>
      <c r="F657" s="38"/>
      <c r="G657" s="38"/>
      <c r="H657" s="38">
        <v>2</v>
      </c>
      <c r="I657" s="66">
        <f t="shared" si="71"/>
        <v>2</v>
      </c>
      <c r="J657" s="15">
        <f t="shared" si="72"/>
        <v>5814.9854560000003</v>
      </c>
      <c r="K657" s="15">
        <f t="shared" si="73"/>
        <v>11629.970912000001</v>
      </c>
      <c r="L657" s="38">
        <v>52188</v>
      </c>
      <c r="M657" s="38" t="s">
        <v>534</v>
      </c>
      <c r="N657" s="103"/>
      <c r="O657" s="13">
        <v>32.94</v>
      </c>
      <c r="P657" s="13">
        <v>36.89</v>
      </c>
      <c r="Q657" s="13">
        <v>33.518000000000001</v>
      </c>
      <c r="R657" s="16">
        <v>157.63040000000001</v>
      </c>
      <c r="S657" s="13"/>
    </row>
    <row r="658" spans="1:19" x14ac:dyDescent="0.25">
      <c r="A658" s="13">
        <v>5</v>
      </c>
      <c r="B658" s="13" t="s">
        <v>535</v>
      </c>
      <c r="C658" s="13" t="s">
        <v>536</v>
      </c>
      <c r="D658" s="37" t="s">
        <v>36</v>
      </c>
      <c r="E658" s="13" t="s">
        <v>475</v>
      </c>
      <c r="F658" s="13"/>
      <c r="G658" s="13"/>
      <c r="H658" s="13">
        <v>2</v>
      </c>
      <c r="I658" s="66">
        <f t="shared" si="71"/>
        <v>2</v>
      </c>
      <c r="J658" s="15">
        <f t="shared" si="72"/>
        <v>1566.846176</v>
      </c>
      <c r="K658" s="15">
        <f t="shared" si="73"/>
        <v>3133.692352</v>
      </c>
      <c r="L658" s="13">
        <v>52189</v>
      </c>
      <c r="M658" s="23">
        <v>46119</v>
      </c>
      <c r="N658" s="103"/>
      <c r="O658" s="13">
        <v>8.8800000000000008</v>
      </c>
      <c r="P658" s="13">
        <v>9.94</v>
      </c>
      <c r="Q658" s="13">
        <v>9.0299999999999994</v>
      </c>
      <c r="R658" s="16">
        <v>157.63040000000001</v>
      </c>
      <c r="S658" s="13"/>
    </row>
    <row r="659" spans="1:19" x14ac:dyDescent="0.25">
      <c r="A659" s="13">
        <v>6</v>
      </c>
      <c r="B659" s="13" t="s">
        <v>537</v>
      </c>
      <c r="C659" s="13" t="s">
        <v>538</v>
      </c>
      <c r="D659" s="37" t="s">
        <v>401</v>
      </c>
      <c r="E659" s="13" t="s">
        <v>475</v>
      </c>
      <c r="F659" s="13"/>
      <c r="G659" s="13"/>
      <c r="H659" s="13">
        <v>3</v>
      </c>
      <c r="I659" s="66">
        <f t="shared" si="71"/>
        <v>3</v>
      </c>
      <c r="J659" s="15">
        <f t="shared" si="72"/>
        <v>1371.3844799999999</v>
      </c>
      <c r="K659" s="15">
        <f t="shared" si="73"/>
        <v>4114.15344</v>
      </c>
      <c r="L659" s="13">
        <v>52189</v>
      </c>
      <c r="M659" s="13" t="s">
        <v>539</v>
      </c>
      <c r="N659" s="103"/>
      <c r="O659" s="13">
        <v>7.77</v>
      </c>
      <c r="P659" s="13">
        <v>8.6999999999999993</v>
      </c>
      <c r="Q659" s="13">
        <v>7.91</v>
      </c>
      <c r="R659" s="16">
        <v>157.63040000000001</v>
      </c>
      <c r="S659" s="13"/>
    </row>
    <row r="660" spans="1:19" x14ac:dyDescent="0.25">
      <c r="A660" s="13">
        <v>7</v>
      </c>
      <c r="B660" s="13" t="s">
        <v>540</v>
      </c>
      <c r="C660" s="13" t="s">
        <v>541</v>
      </c>
      <c r="D660" s="37" t="s">
        <v>490</v>
      </c>
      <c r="E660" s="13" t="s">
        <v>475</v>
      </c>
      <c r="F660" s="13"/>
      <c r="G660" s="13"/>
      <c r="H660" s="13">
        <v>3</v>
      </c>
      <c r="I660" s="66">
        <f t="shared" si="71"/>
        <v>3</v>
      </c>
      <c r="J660" s="15">
        <f t="shared" si="72"/>
        <v>3111.624096</v>
      </c>
      <c r="K660" s="15">
        <f t="shared" si="73"/>
        <v>9334.8722880000005</v>
      </c>
      <c r="L660" s="13">
        <v>52189</v>
      </c>
      <c r="M660" s="13" t="s">
        <v>542</v>
      </c>
      <c r="N660" s="103"/>
      <c r="O660" s="13">
        <v>17.63</v>
      </c>
      <c r="P660" s="13">
        <v>19.739999999999998</v>
      </c>
      <c r="Q660" s="13">
        <v>6.95</v>
      </c>
      <c r="R660" s="16">
        <v>157.63040000000001</v>
      </c>
      <c r="S660" s="13"/>
    </row>
    <row r="661" spans="1:19" x14ac:dyDescent="0.25">
      <c r="A661" s="13">
        <v>8</v>
      </c>
      <c r="B661" s="13" t="s">
        <v>543</v>
      </c>
      <c r="C661" s="13" t="s">
        <v>544</v>
      </c>
      <c r="D661" s="37" t="s">
        <v>490</v>
      </c>
      <c r="E661" s="13" t="s">
        <v>475</v>
      </c>
      <c r="F661" s="13"/>
      <c r="G661" s="13"/>
      <c r="H661" s="13">
        <v>5</v>
      </c>
      <c r="I661" s="66">
        <f t="shared" si="71"/>
        <v>5</v>
      </c>
      <c r="J661" s="15">
        <f t="shared" si="72"/>
        <v>1674.034848</v>
      </c>
      <c r="K661" s="15">
        <f t="shared" si="73"/>
        <v>8370.1742400000003</v>
      </c>
      <c r="L661" s="13">
        <v>52189</v>
      </c>
      <c r="M661" s="23">
        <v>46395</v>
      </c>
      <c r="N661" s="103"/>
      <c r="O661" s="13">
        <v>9.48</v>
      </c>
      <c r="P661" s="13">
        <v>10.62</v>
      </c>
      <c r="Q661" s="13">
        <v>6.95</v>
      </c>
      <c r="R661" s="16">
        <v>157.63040000000001</v>
      </c>
      <c r="S661" s="13"/>
    </row>
    <row r="662" spans="1:19" ht="30" x14ac:dyDescent="0.25">
      <c r="A662" s="13">
        <v>9</v>
      </c>
      <c r="B662" s="13" t="s">
        <v>545</v>
      </c>
      <c r="C662" s="13" t="s">
        <v>546</v>
      </c>
      <c r="D662" s="37" t="s">
        <v>547</v>
      </c>
      <c r="E662" s="13" t="s">
        <v>475</v>
      </c>
      <c r="F662" s="13"/>
      <c r="G662" s="13"/>
      <c r="H662" s="13">
        <v>2</v>
      </c>
      <c r="I662" s="66">
        <f t="shared" si="71"/>
        <v>2</v>
      </c>
      <c r="J662" s="15">
        <f t="shared" si="72"/>
        <v>1674.034848</v>
      </c>
      <c r="K662" s="15">
        <f t="shared" si="73"/>
        <v>3348.069696</v>
      </c>
      <c r="L662" s="13">
        <v>52189</v>
      </c>
      <c r="M662" s="13" t="s">
        <v>548</v>
      </c>
      <c r="N662" s="103"/>
      <c r="O662" s="13">
        <v>4.08</v>
      </c>
      <c r="P662" s="13">
        <v>10.62</v>
      </c>
      <c r="Q662" s="13">
        <v>6.49</v>
      </c>
      <c r="R662" s="16">
        <v>157.63040000000001</v>
      </c>
      <c r="S662" s="13"/>
    </row>
    <row r="663" spans="1:19" ht="30" x14ac:dyDescent="0.25">
      <c r="A663" s="13">
        <v>10</v>
      </c>
      <c r="B663" s="13" t="s">
        <v>549</v>
      </c>
      <c r="C663" s="13" t="s">
        <v>550</v>
      </c>
      <c r="D663" s="37" t="s">
        <v>547</v>
      </c>
      <c r="E663" s="13" t="s">
        <v>475</v>
      </c>
      <c r="F663" s="13"/>
      <c r="G663" s="13"/>
      <c r="H663" s="13">
        <v>7</v>
      </c>
      <c r="I663" s="66">
        <f t="shared" si="71"/>
        <v>7</v>
      </c>
      <c r="J663" s="15">
        <f t="shared" si="72"/>
        <v>600.57182399999999</v>
      </c>
      <c r="K663" s="15">
        <f t="shared" si="73"/>
        <v>4204.0027680000003</v>
      </c>
      <c r="L663" s="13">
        <v>52189</v>
      </c>
      <c r="M663" s="23">
        <v>46512</v>
      </c>
      <c r="N663" s="103"/>
      <c r="O663" s="13">
        <v>3.4</v>
      </c>
      <c r="P663" s="13">
        <v>3.81</v>
      </c>
      <c r="Q663" s="13">
        <v>2.33</v>
      </c>
      <c r="R663" s="16">
        <v>157.63040000000001</v>
      </c>
      <c r="S663" s="13"/>
    </row>
    <row r="664" spans="1:19" x14ac:dyDescent="0.25">
      <c r="A664" s="13">
        <v>11</v>
      </c>
      <c r="B664" s="13" t="s">
        <v>551</v>
      </c>
      <c r="C664" s="13" t="s">
        <v>552</v>
      </c>
      <c r="D664" s="37" t="s">
        <v>490</v>
      </c>
      <c r="E664" s="13" t="s">
        <v>475</v>
      </c>
      <c r="F664" s="13"/>
      <c r="G664" s="13"/>
      <c r="H664" s="13">
        <v>9</v>
      </c>
      <c r="I664" s="66">
        <f t="shared" si="71"/>
        <v>9</v>
      </c>
      <c r="J664" s="15">
        <f t="shared" si="72"/>
        <v>6431.3203199999998</v>
      </c>
      <c r="K664" s="15">
        <f t="shared" si="73"/>
        <v>57881.882879999997</v>
      </c>
      <c r="L664" s="13">
        <v>52189</v>
      </c>
      <c r="M664" s="23">
        <v>46641</v>
      </c>
      <c r="N664" s="103"/>
      <c r="O664" s="13">
        <v>36.43</v>
      </c>
      <c r="P664" s="13">
        <v>40.799999999999997</v>
      </c>
      <c r="Q664" s="13">
        <v>37.07</v>
      </c>
      <c r="R664" s="16">
        <v>157.63040000000001</v>
      </c>
      <c r="S664" s="13"/>
    </row>
    <row r="665" spans="1:19" x14ac:dyDescent="0.25">
      <c r="A665" s="16">
        <v>12</v>
      </c>
      <c r="B665" s="16" t="s">
        <v>561</v>
      </c>
      <c r="C665" s="16" t="s">
        <v>562</v>
      </c>
      <c r="D665" s="55" t="s">
        <v>122</v>
      </c>
      <c r="E665" s="16" t="s">
        <v>563</v>
      </c>
      <c r="F665" s="16"/>
      <c r="G665" s="16"/>
      <c r="H665" s="16">
        <v>10</v>
      </c>
      <c r="I665" s="72">
        <f t="shared" si="71"/>
        <v>10</v>
      </c>
      <c r="J665" s="46">
        <f t="shared" si="72"/>
        <v>580868.02399999998</v>
      </c>
      <c r="K665" s="46">
        <f t="shared" si="73"/>
        <v>5808680.2400000002</v>
      </c>
      <c r="L665" s="16">
        <v>52189</v>
      </c>
      <c r="M665" s="56">
        <v>46397</v>
      </c>
      <c r="N665" s="103"/>
      <c r="O665" s="16">
        <v>32.9</v>
      </c>
      <c r="P665" s="16">
        <v>3685</v>
      </c>
      <c r="Q665" s="16">
        <v>27.18</v>
      </c>
      <c r="R665" s="16">
        <v>157.63040000000001</v>
      </c>
      <c r="S665" s="13"/>
    </row>
    <row r="666" spans="1:19" x14ac:dyDescent="0.25">
      <c r="A666" s="123" t="s">
        <v>5</v>
      </c>
      <c r="B666" s="123"/>
      <c r="C666" s="123"/>
      <c r="D666" s="123"/>
      <c r="E666" s="123"/>
      <c r="F666" s="123"/>
      <c r="G666" s="123"/>
      <c r="H666" s="123"/>
      <c r="I666" s="123"/>
      <c r="J666" s="123"/>
      <c r="K666" s="60">
        <f>SUM(K654:K665)</f>
        <v>5956381.501104</v>
      </c>
      <c r="L666" s="13"/>
      <c r="M666" s="13"/>
      <c r="N666" s="103"/>
      <c r="O666" s="13"/>
      <c r="P666" s="13"/>
      <c r="Q666" s="13"/>
    </row>
    <row r="667" spans="1:19" x14ac:dyDescent="0.25">
      <c r="A667" s="123" t="s">
        <v>669</v>
      </c>
      <c r="B667" s="123"/>
      <c r="C667" s="123"/>
      <c r="D667" s="123"/>
      <c r="E667" s="123"/>
      <c r="F667" s="123"/>
      <c r="G667" s="123"/>
      <c r="H667" s="123"/>
      <c r="I667" s="123"/>
      <c r="J667" s="123"/>
      <c r="K667" s="15"/>
      <c r="L667" s="13"/>
      <c r="M667" s="13"/>
      <c r="N667" s="104"/>
      <c r="O667" s="13"/>
      <c r="P667" s="13"/>
      <c r="Q667" s="13"/>
    </row>
    <row r="670" spans="1:19" x14ac:dyDescent="0.25">
      <c r="A670" s="132" t="s">
        <v>564</v>
      </c>
      <c r="B670" s="132"/>
      <c r="C670" s="132"/>
      <c r="D670" s="132"/>
      <c r="E670" s="132"/>
      <c r="F670" s="132"/>
      <c r="G670" s="132"/>
      <c r="H670" s="132"/>
      <c r="I670" s="132"/>
      <c r="J670" s="132"/>
      <c r="K670" s="132"/>
      <c r="L670" s="132"/>
      <c r="M670" s="1"/>
      <c r="N670" s="1"/>
      <c r="O670" s="1"/>
      <c r="P670" s="1"/>
      <c r="Q670" s="1"/>
      <c r="R670" s="134" t="s">
        <v>2</v>
      </c>
    </row>
    <row r="671" spans="1:19" x14ac:dyDescent="0.25">
      <c r="A671" s="135" t="s">
        <v>496</v>
      </c>
      <c r="B671" s="135"/>
      <c r="C671" s="135"/>
      <c r="D671" s="135"/>
      <c r="E671" s="135"/>
      <c r="F671" s="135"/>
      <c r="G671" s="135"/>
      <c r="H671" s="135"/>
      <c r="I671" s="135"/>
      <c r="J671" s="2" t="s">
        <v>5</v>
      </c>
      <c r="K671" s="136" t="s">
        <v>6</v>
      </c>
      <c r="L671" s="137" t="s">
        <v>1</v>
      </c>
      <c r="M671" s="138" t="s">
        <v>205</v>
      </c>
      <c r="N671" s="131" t="s">
        <v>7</v>
      </c>
      <c r="O671" s="3"/>
      <c r="P671" s="3"/>
      <c r="Q671" s="4"/>
      <c r="R671" s="134"/>
    </row>
    <row r="672" spans="1:19" x14ac:dyDescent="0.25">
      <c r="A672" s="5"/>
      <c r="B672" s="142" t="s">
        <v>140</v>
      </c>
      <c r="C672" s="142"/>
      <c r="D672" s="142"/>
      <c r="E672" s="142"/>
      <c r="F672" s="143" t="s">
        <v>9</v>
      </c>
      <c r="G672" s="143"/>
      <c r="H672" s="143"/>
      <c r="I672" s="64"/>
      <c r="J672" s="136" t="s">
        <v>10</v>
      </c>
      <c r="K672" s="136"/>
      <c r="L672" s="137"/>
      <c r="M672" s="138"/>
      <c r="N672" s="131"/>
      <c r="O672" s="144" t="s">
        <v>11</v>
      </c>
      <c r="P672" s="131" t="s">
        <v>12</v>
      </c>
      <c r="Q672" s="131" t="s">
        <v>13</v>
      </c>
      <c r="R672" s="134"/>
    </row>
    <row r="673" spans="1:18" ht="26.25" x14ac:dyDescent="0.25">
      <c r="A673" s="5" t="s">
        <v>14</v>
      </c>
      <c r="B673" s="8" t="s">
        <v>15</v>
      </c>
      <c r="C673" s="8" t="s">
        <v>16</v>
      </c>
      <c r="D673" s="8" t="s">
        <v>17</v>
      </c>
      <c r="E673" s="9" t="s">
        <v>18</v>
      </c>
      <c r="F673" s="10" t="s">
        <v>19</v>
      </c>
      <c r="G673" s="11" t="s">
        <v>20</v>
      </c>
      <c r="H673" s="12" t="s">
        <v>21</v>
      </c>
      <c r="I673" s="65" t="s">
        <v>22</v>
      </c>
      <c r="J673" s="136"/>
      <c r="K673" s="136"/>
      <c r="L673" s="137"/>
      <c r="M673" s="138"/>
      <c r="N673" s="131"/>
      <c r="O673" s="144"/>
      <c r="P673" s="131"/>
      <c r="Q673" s="131"/>
      <c r="R673" s="134"/>
    </row>
    <row r="674" spans="1:18" x14ac:dyDescent="0.25">
      <c r="A674" s="13">
        <v>1</v>
      </c>
      <c r="B674" s="13" t="s">
        <v>565</v>
      </c>
      <c r="C674" s="13" t="s">
        <v>505</v>
      </c>
      <c r="D674" s="13" t="s">
        <v>566</v>
      </c>
      <c r="E674" s="13" t="s">
        <v>567</v>
      </c>
      <c r="F674" s="13"/>
      <c r="G674" s="13"/>
      <c r="H674" s="13">
        <v>191</v>
      </c>
      <c r="I674" s="66">
        <f>SUM(F674:H674)</f>
        <v>191</v>
      </c>
      <c r="J674" s="15">
        <f>P674*R674</f>
        <v>4166.171472</v>
      </c>
      <c r="K674" s="15">
        <f>J674*I674</f>
        <v>795738.75115200004</v>
      </c>
      <c r="L674" s="13">
        <v>52192</v>
      </c>
      <c r="M674" s="23">
        <v>46784</v>
      </c>
      <c r="N674" s="108" t="s">
        <v>694</v>
      </c>
      <c r="O674" s="13">
        <v>23.6</v>
      </c>
      <c r="P674" s="13">
        <v>26.43</v>
      </c>
      <c r="Q674" s="13">
        <v>9.31</v>
      </c>
      <c r="R674" s="16">
        <v>157.63040000000001</v>
      </c>
    </row>
    <row r="675" spans="1:18" x14ac:dyDescent="0.25">
      <c r="A675" s="13">
        <v>2</v>
      </c>
      <c r="B675" s="13" t="s">
        <v>568</v>
      </c>
      <c r="C675" s="13" t="s">
        <v>569</v>
      </c>
      <c r="D675" s="13" t="s">
        <v>122</v>
      </c>
      <c r="E675" s="13" t="s">
        <v>475</v>
      </c>
      <c r="F675" s="13"/>
      <c r="G675" s="13"/>
      <c r="H675" s="13">
        <v>93</v>
      </c>
      <c r="I675" s="66">
        <f t="shared" ref="I675:I738" si="74">SUM(F675:H675)</f>
        <v>93</v>
      </c>
      <c r="J675" s="15">
        <f t="shared" ref="J675:J738" si="75">P675*R675</f>
        <v>1729.2054880000003</v>
      </c>
      <c r="K675" s="15">
        <f t="shared" ref="K675:K738" si="76">J675*I675</f>
        <v>160816.11038400003</v>
      </c>
      <c r="L675" s="13">
        <v>52192</v>
      </c>
      <c r="M675" s="13" t="s">
        <v>570</v>
      </c>
      <c r="N675" s="109"/>
      <c r="O675" s="13">
        <v>9.8000000000000007</v>
      </c>
      <c r="P675" s="13">
        <v>10.97</v>
      </c>
      <c r="Q675" s="13">
        <v>8.09</v>
      </c>
      <c r="R675" s="16">
        <v>157.63040000000001</v>
      </c>
    </row>
    <row r="676" spans="1:18" x14ac:dyDescent="0.25">
      <c r="A676" s="13">
        <v>3</v>
      </c>
      <c r="B676" s="13" t="s">
        <v>565</v>
      </c>
      <c r="C676" s="13" t="s">
        <v>505</v>
      </c>
      <c r="D676" s="13" t="s">
        <v>571</v>
      </c>
      <c r="E676" s="13" t="s">
        <v>567</v>
      </c>
      <c r="F676" s="13"/>
      <c r="G676" s="13"/>
      <c r="H676" s="13">
        <v>68</v>
      </c>
      <c r="I676" s="66">
        <f t="shared" si="74"/>
        <v>68</v>
      </c>
      <c r="J676" s="15">
        <f t="shared" si="75"/>
        <v>4166.171472</v>
      </c>
      <c r="K676" s="15">
        <f t="shared" si="76"/>
        <v>283299.66009600001</v>
      </c>
      <c r="L676" s="13">
        <v>52192</v>
      </c>
      <c r="M676" s="23">
        <v>46793</v>
      </c>
      <c r="N676" s="109"/>
      <c r="O676" s="13">
        <v>23.6</v>
      </c>
      <c r="P676" s="13">
        <v>26.43</v>
      </c>
      <c r="Q676" s="13">
        <v>9.31</v>
      </c>
      <c r="R676" s="16">
        <v>157.63040000000001</v>
      </c>
    </row>
    <row r="677" spans="1:18" x14ac:dyDescent="0.25">
      <c r="A677" s="13">
        <v>4</v>
      </c>
      <c r="B677" s="13" t="s">
        <v>568</v>
      </c>
      <c r="C677" s="13" t="s">
        <v>572</v>
      </c>
      <c r="D677" s="13" t="s">
        <v>122</v>
      </c>
      <c r="E677" s="13" t="s">
        <v>475</v>
      </c>
      <c r="F677" s="13"/>
      <c r="G677" s="13"/>
      <c r="H677" s="13">
        <v>34</v>
      </c>
      <c r="I677" s="66">
        <f t="shared" si="74"/>
        <v>34</v>
      </c>
      <c r="J677" s="15">
        <f t="shared" si="75"/>
        <v>1729.2054880000003</v>
      </c>
      <c r="K677" s="15">
        <f t="shared" si="76"/>
        <v>58792.986592000008</v>
      </c>
      <c r="L677" s="13">
        <v>52192</v>
      </c>
      <c r="M677" s="13" t="s">
        <v>573</v>
      </c>
      <c r="N677" s="109"/>
      <c r="O677" s="13">
        <v>9.8000000000000007</v>
      </c>
      <c r="P677" s="13">
        <v>10.97</v>
      </c>
      <c r="Q677" s="13">
        <v>8.09</v>
      </c>
      <c r="R677" s="16">
        <v>157.63040000000001</v>
      </c>
    </row>
    <row r="678" spans="1:18" x14ac:dyDescent="0.25">
      <c r="A678" s="13">
        <v>5</v>
      </c>
      <c r="B678" s="13" t="s">
        <v>565</v>
      </c>
      <c r="C678" s="13" t="s">
        <v>574</v>
      </c>
      <c r="D678" s="13" t="s">
        <v>566</v>
      </c>
      <c r="E678" s="13" t="s">
        <v>567</v>
      </c>
      <c r="F678" s="13"/>
      <c r="G678" s="13"/>
      <c r="H678" s="13">
        <v>3</v>
      </c>
      <c r="I678" s="66">
        <f t="shared" si="74"/>
        <v>3</v>
      </c>
      <c r="J678" s="15">
        <f t="shared" si="75"/>
        <v>4166.171472</v>
      </c>
      <c r="K678" s="15">
        <f t="shared" si="76"/>
        <v>12498.514416</v>
      </c>
      <c r="L678" s="13">
        <v>52192</v>
      </c>
      <c r="M678" s="23">
        <v>46699</v>
      </c>
      <c r="N678" s="109"/>
      <c r="O678" s="13">
        <v>23.6</v>
      </c>
      <c r="P678" s="13">
        <v>26.43</v>
      </c>
      <c r="Q678" s="13">
        <v>9.31</v>
      </c>
      <c r="R678" s="16">
        <v>157.63040000000001</v>
      </c>
    </row>
    <row r="679" spans="1:18" x14ac:dyDescent="0.25">
      <c r="A679" s="13">
        <v>6</v>
      </c>
      <c r="B679" s="13" t="s">
        <v>565</v>
      </c>
      <c r="C679" s="13" t="s">
        <v>575</v>
      </c>
      <c r="D679" s="13" t="s">
        <v>571</v>
      </c>
      <c r="E679" s="13" t="s">
        <v>567</v>
      </c>
      <c r="F679" s="13"/>
      <c r="G679" s="13"/>
      <c r="H679" s="13">
        <v>3</v>
      </c>
      <c r="I679" s="66">
        <f t="shared" si="74"/>
        <v>3</v>
      </c>
      <c r="J679" s="15">
        <f t="shared" si="75"/>
        <v>4166.171472</v>
      </c>
      <c r="K679" s="15">
        <f t="shared" si="76"/>
        <v>12498.514416</v>
      </c>
      <c r="L679" s="96">
        <v>52192</v>
      </c>
      <c r="M679" s="23">
        <v>46550</v>
      </c>
      <c r="N679" s="109"/>
      <c r="O679" s="13">
        <v>23.6</v>
      </c>
      <c r="P679" s="13">
        <v>26.43</v>
      </c>
      <c r="Q679" s="13">
        <v>9.31</v>
      </c>
      <c r="R679" s="16">
        <v>157.63040000000001</v>
      </c>
    </row>
    <row r="680" spans="1:18" x14ac:dyDescent="0.25">
      <c r="A680" s="13">
        <v>7</v>
      </c>
      <c r="B680" s="13" t="s">
        <v>576</v>
      </c>
      <c r="C680" s="13" t="s">
        <v>577</v>
      </c>
      <c r="D680" s="13" t="s">
        <v>490</v>
      </c>
      <c r="E680" s="13" t="s">
        <v>563</v>
      </c>
      <c r="F680" s="13"/>
      <c r="G680" s="13"/>
      <c r="H680" s="13">
        <v>7</v>
      </c>
      <c r="I680" s="66">
        <f t="shared" si="74"/>
        <v>7</v>
      </c>
      <c r="J680" s="15">
        <f t="shared" si="75"/>
        <v>2197.367776</v>
      </c>
      <c r="K680" s="15">
        <f t="shared" si="76"/>
        <v>15381.574432000001</v>
      </c>
      <c r="L680" s="13">
        <v>52192</v>
      </c>
      <c r="M680" s="23">
        <v>46392</v>
      </c>
      <c r="N680" s="109"/>
      <c r="O680" s="13">
        <v>12.45</v>
      </c>
      <c r="P680" s="13">
        <v>13.94</v>
      </c>
      <c r="Q680" s="13">
        <v>6.76</v>
      </c>
      <c r="R680" s="16">
        <v>157.63040000000001</v>
      </c>
    </row>
    <row r="681" spans="1:18" x14ac:dyDescent="0.25">
      <c r="A681" s="13">
        <v>8</v>
      </c>
      <c r="B681" s="13" t="s">
        <v>578</v>
      </c>
      <c r="C681" s="13" t="s">
        <v>577</v>
      </c>
      <c r="D681" s="13" t="s">
        <v>490</v>
      </c>
      <c r="E681" s="13" t="s">
        <v>563</v>
      </c>
      <c r="F681" s="13"/>
      <c r="G681" s="13"/>
      <c r="H681" s="13">
        <v>51</v>
      </c>
      <c r="I681" s="66">
        <f t="shared" si="74"/>
        <v>51</v>
      </c>
      <c r="J681" s="15">
        <f t="shared" si="75"/>
        <v>2197.367776</v>
      </c>
      <c r="K681" s="15">
        <f t="shared" si="76"/>
        <v>112065.756576</v>
      </c>
      <c r="L681" s="13">
        <v>52192</v>
      </c>
      <c r="M681" s="23">
        <v>46396</v>
      </c>
      <c r="N681" s="109"/>
      <c r="O681" s="13">
        <v>12.45</v>
      </c>
      <c r="P681" s="13">
        <v>13.94</v>
      </c>
      <c r="Q681" s="13">
        <v>6.76</v>
      </c>
      <c r="R681" s="16">
        <v>157.63040000000001</v>
      </c>
    </row>
    <row r="682" spans="1:18" x14ac:dyDescent="0.25">
      <c r="A682" s="13">
        <v>9</v>
      </c>
      <c r="B682" s="13" t="s">
        <v>579</v>
      </c>
      <c r="C682" s="13" t="s">
        <v>580</v>
      </c>
      <c r="D682" s="13" t="s">
        <v>490</v>
      </c>
      <c r="E682" s="13" t="s">
        <v>563</v>
      </c>
      <c r="F682" s="13"/>
      <c r="G682" s="13"/>
      <c r="H682" s="13">
        <v>7</v>
      </c>
      <c r="I682" s="66">
        <f t="shared" si="74"/>
        <v>7</v>
      </c>
      <c r="J682" s="15">
        <f t="shared" si="75"/>
        <v>2197.367776</v>
      </c>
      <c r="K682" s="15">
        <f t="shared" si="76"/>
        <v>15381.574432000001</v>
      </c>
      <c r="L682" s="13">
        <v>52192</v>
      </c>
      <c r="M682" s="23">
        <v>46393</v>
      </c>
      <c r="N682" s="109"/>
      <c r="O682" s="13">
        <v>12.45</v>
      </c>
      <c r="P682" s="13">
        <v>13.94</v>
      </c>
      <c r="Q682" s="13">
        <v>6.76</v>
      </c>
      <c r="R682" s="16">
        <v>157.63040000000001</v>
      </c>
    </row>
    <row r="683" spans="1:18" x14ac:dyDescent="0.25">
      <c r="A683" s="13">
        <v>10</v>
      </c>
      <c r="B683" s="13" t="s">
        <v>581</v>
      </c>
      <c r="C683" s="13" t="s">
        <v>582</v>
      </c>
      <c r="D683" s="13" t="s">
        <v>122</v>
      </c>
      <c r="E683" s="13" t="s">
        <v>563</v>
      </c>
      <c r="F683" s="13"/>
      <c r="G683" s="13"/>
      <c r="H683" s="13">
        <v>4</v>
      </c>
      <c r="I683" s="66">
        <f t="shared" si="74"/>
        <v>4</v>
      </c>
      <c r="J683" s="15">
        <f t="shared" si="75"/>
        <v>4818.7613280000005</v>
      </c>
      <c r="K683" s="15">
        <f t="shared" si="76"/>
        <v>19275.045312000002</v>
      </c>
      <c r="L683" s="13">
        <v>52192</v>
      </c>
      <c r="M683" s="13" t="s">
        <v>583</v>
      </c>
      <c r="N683" s="109"/>
      <c r="O683" s="13">
        <v>27.3</v>
      </c>
      <c r="P683" s="13">
        <v>30.57</v>
      </c>
      <c r="Q683" s="13">
        <v>10.77</v>
      </c>
      <c r="R683" s="16">
        <v>157.63040000000001</v>
      </c>
    </row>
    <row r="684" spans="1:18" x14ac:dyDescent="0.25">
      <c r="A684" s="13">
        <v>11</v>
      </c>
      <c r="B684" s="13" t="s">
        <v>584</v>
      </c>
      <c r="C684" s="13" t="s">
        <v>574</v>
      </c>
      <c r="D684" s="13" t="s">
        <v>566</v>
      </c>
      <c r="E684" s="13" t="s">
        <v>475</v>
      </c>
      <c r="F684" s="13"/>
      <c r="G684" s="13"/>
      <c r="H684" s="13">
        <v>8</v>
      </c>
      <c r="I684" s="66">
        <f t="shared" si="74"/>
        <v>8</v>
      </c>
      <c r="J684" s="15">
        <f t="shared" si="75"/>
        <v>3748.4509120000002</v>
      </c>
      <c r="K684" s="15">
        <f t="shared" si="76"/>
        <v>29987.607296000002</v>
      </c>
      <c r="L684" s="13">
        <v>52192</v>
      </c>
      <c r="M684" s="13" t="s">
        <v>585</v>
      </c>
      <c r="N684" s="109"/>
      <c r="O684" s="13">
        <v>21.24</v>
      </c>
      <c r="P684" s="13">
        <v>23.78</v>
      </c>
      <c r="Q684" s="13">
        <v>8.3800000000000008</v>
      </c>
      <c r="R684" s="16">
        <v>157.63040000000001</v>
      </c>
    </row>
    <row r="685" spans="1:18" x14ac:dyDescent="0.25">
      <c r="A685" s="13">
        <v>12</v>
      </c>
      <c r="B685" s="13" t="s">
        <v>586</v>
      </c>
      <c r="C685" s="13" t="s">
        <v>575</v>
      </c>
      <c r="D685" s="13" t="s">
        <v>587</v>
      </c>
      <c r="E685" s="13" t="s">
        <v>238</v>
      </c>
      <c r="F685" s="13"/>
      <c r="G685" s="13"/>
      <c r="H685" s="13">
        <v>22</v>
      </c>
      <c r="I685" s="66">
        <f t="shared" si="74"/>
        <v>22</v>
      </c>
      <c r="J685" s="15">
        <f t="shared" si="75"/>
        <v>624.21638400000006</v>
      </c>
      <c r="K685" s="15">
        <f t="shared" si="76"/>
        <v>13732.760448000001</v>
      </c>
      <c r="L685" s="13">
        <v>52192</v>
      </c>
      <c r="M685" s="23">
        <v>46672</v>
      </c>
      <c r="N685" s="109"/>
      <c r="O685" s="13">
        <v>3.54</v>
      </c>
      <c r="P685" s="13">
        <v>3.96</v>
      </c>
      <c r="Q685" s="13">
        <v>1.39</v>
      </c>
      <c r="R685" s="16">
        <v>157.63040000000001</v>
      </c>
    </row>
    <row r="686" spans="1:18" x14ac:dyDescent="0.25">
      <c r="A686" s="13">
        <v>13</v>
      </c>
      <c r="B686" s="13" t="s">
        <v>588</v>
      </c>
      <c r="C686" s="13" t="s">
        <v>589</v>
      </c>
      <c r="D686" s="13" t="s">
        <v>122</v>
      </c>
      <c r="E686" s="13" t="s">
        <v>238</v>
      </c>
      <c r="F686" s="13"/>
      <c r="G686" s="13"/>
      <c r="H686" s="13">
        <v>20</v>
      </c>
      <c r="I686" s="66">
        <f t="shared" si="74"/>
        <v>20</v>
      </c>
      <c r="J686" s="15">
        <f t="shared" si="75"/>
        <v>1350.8925280000001</v>
      </c>
      <c r="K686" s="15">
        <f t="shared" si="76"/>
        <v>27017.850560000003</v>
      </c>
      <c r="L686" s="13">
        <v>52192</v>
      </c>
      <c r="M686" s="23">
        <v>46668</v>
      </c>
      <c r="N686" s="109"/>
      <c r="O686" s="13">
        <v>7.65</v>
      </c>
      <c r="P686" s="13">
        <v>8.57</v>
      </c>
      <c r="Q686" s="13">
        <v>3.02</v>
      </c>
      <c r="R686" s="16">
        <v>157.63040000000001</v>
      </c>
    </row>
    <row r="687" spans="1:18" x14ac:dyDescent="0.25">
      <c r="A687" s="13">
        <v>14</v>
      </c>
      <c r="B687" s="13" t="s">
        <v>590</v>
      </c>
      <c r="C687" s="13" t="s">
        <v>591</v>
      </c>
      <c r="D687" s="13" t="s">
        <v>592</v>
      </c>
      <c r="E687" s="13" t="s">
        <v>514</v>
      </c>
      <c r="F687" s="13"/>
      <c r="G687" s="13"/>
      <c r="H687" s="13">
        <v>11</v>
      </c>
      <c r="I687" s="66">
        <f t="shared" si="74"/>
        <v>11</v>
      </c>
      <c r="J687" s="15">
        <f t="shared" si="75"/>
        <v>1973.532608</v>
      </c>
      <c r="K687" s="15">
        <f t="shared" si="76"/>
        <v>21708.858688</v>
      </c>
      <c r="L687" s="13">
        <v>52193</v>
      </c>
      <c r="M687" s="13" t="s">
        <v>560</v>
      </c>
      <c r="N687" s="109"/>
      <c r="O687" s="13">
        <v>11.17</v>
      </c>
      <c r="P687" s="13">
        <v>12.52</v>
      </c>
      <c r="Q687" s="13">
        <v>2.97</v>
      </c>
      <c r="R687" s="16">
        <v>157.63040000000001</v>
      </c>
    </row>
    <row r="688" spans="1:18" x14ac:dyDescent="0.25">
      <c r="A688" s="13">
        <v>15</v>
      </c>
      <c r="B688" s="13" t="s">
        <v>590</v>
      </c>
      <c r="C688" s="13" t="s">
        <v>593</v>
      </c>
      <c r="D688" s="13" t="s">
        <v>592</v>
      </c>
      <c r="E688" s="13" t="s">
        <v>514</v>
      </c>
      <c r="F688" s="13"/>
      <c r="G688" s="13"/>
      <c r="H688" s="13">
        <v>1</v>
      </c>
      <c r="I688" s="66">
        <f t="shared" si="74"/>
        <v>1</v>
      </c>
      <c r="J688" s="15">
        <f t="shared" si="75"/>
        <v>3884.0130560000002</v>
      </c>
      <c r="K688" s="15">
        <f t="shared" si="76"/>
        <v>3884.0130560000002</v>
      </c>
      <c r="L688" s="13">
        <v>52193</v>
      </c>
      <c r="M688" s="13" t="s">
        <v>594</v>
      </c>
      <c r="N688" s="109"/>
      <c r="O688" s="13">
        <v>22.003</v>
      </c>
      <c r="P688" s="13">
        <v>24.64</v>
      </c>
      <c r="Q688" s="13">
        <v>5.85</v>
      </c>
      <c r="R688" s="16">
        <v>157.63040000000001</v>
      </c>
    </row>
    <row r="689" spans="1:18" x14ac:dyDescent="0.25">
      <c r="A689" s="13">
        <v>16</v>
      </c>
      <c r="B689" s="13" t="s">
        <v>590</v>
      </c>
      <c r="C689" s="13" t="s">
        <v>595</v>
      </c>
      <c r="D689" s="13" t="s">
        <v>592</v>
      </c>
      <c r="E689" s="13" t="s">
        <v>514</v>
      </c>
      <c r="F689" s="13"/>
      <c r="G689" s="13"/>
      <c r="H689" s="13">
        <v>1</v>
      </c>
      <c r="I689" s="66">
        <f t="shared" si="74"/>
        <v>1</v>
      </c>
      <c r="J689" s="15">
        <f t="shared" si="75"/>
        <v>1973.532608</v>
      </c>
      <c r="K689" s="15">
        <f t="shared" si="76"/>
        <v>1973.532608</v>
      </c>
      <c r="L689" s="13">
        <v>52193</v>
      </c>
      <c r="M689" s="13" t="s">
        <v>596</v>
      </c>
      <c r="N689" s="109"/>
      <c r="O689" s="13">
        <v>11.17</v>
      </c>
      <c r="P689" s="13">
        <v>12.52</v>
      </c>
      <c r="Q689" s="13">
        <v>2.97</v>
      </c>
      <c r="R689" s="16">
        <v>157.63040000000001</v>
      </c>
    </row>
    <row r="690" spans="1:18" x14ac:dyDescent="0.25">
      <c r="A690" s="13">
        <v>17</v>
      </c>
      <c r="B690" s="13" t="s">
        <v>597</v>
      </c>
      <c r="C690" s="13" t="s">
        <v>591</v>
      </c>
      <c r="D690" s="13" t="s">
        <v>592</v>
      </c>
      <c r="E690" s="13" t="s">
        <v>243</v>
      </c>
      <c r="F690" s="13"/>
      <c r="G690" s="13"/>
      <c r="H690" s="13">
        <v>8</v>
      </c>
      <c r="I690" s="66">
        <f t="shared" si="74"/>
        <v>8</v>
      </c>
      <c r="J690" s="15">
        <f t="shared" si="75"/>
        <v>1182.2280000000001</v>
      </c>
      <c r="K690" s="15">
        <f t="shared" si="76"/>
        <v>9457.8240000000005</v>
      </c>
      <c r="L690" s="13">
        <v>52193</v>
      </c>
      <c r="M690" s="23">
        <v>46389</v>
      </c>
      <c r="N690" s="109"/>
      <c r="O690" s="13">
        <v>6.7</v>
      </c>
      <c r="P690" s="13">
        <v>7.5</v>
      </c>
      <c r="Q690" s="13">
        <v>1.78</v>
      </c>
      <c r="R690" s="16">
        <v>157.63040000000001</v>
      </c>
    </row>
    <row r="691" spans="1:18" x14ac:dyDescent="0.25">
      <c r="A691" s="13">
        <v>18</v>
      </c>
      <c r="B691" s="13" t="s">
        <v>597</v>
      </c>
      <c r="C691" s="13" t="s">
        <v>598</v>
      </c>
      <c r="D691" s="13" t="s">
        <v>592</v>
      </c>
      <c r="E691" s="13" t="s">
        <v>243</v>
      </c>
      <c r="F691" s="13"/>
      <c r="G691" s="13"/>
      <c r="H691" s="13">
        <v>2</v>
      </c>
      <c r="I691" s="66">
        <f t="shared" si="74"/>
        <v>2</v>
      </c>
      <c r="J691" s="15">
        <f t="shared" si="75"/>
        <v>1182.2280000000001</v>
      </c>
      <c r="K691" s="15">
        <f t="shared" si="76"/>
        <v>2364.4560000000001</v>
      </c>
      <c r="L691" s="13">
        <v>52193</v>
      </c>
      <c r="M691" s="23">
        <v>46389</v>
      </c>
      <c r="N691" s="109"/>
      <c r="O691" s="13">
        <v>6.7</v>
      </c>
      <c r="P691" s="13">
        <v>7.5</v>
      </c>
      <c r="Q691" s="13">
        <v>1.78</v>
      </c>
      <c r="R691" s="16">
        <v>157.63040000000001</v>
      </c>
    </row>
    <row r="692" spans="1:18" x14ac:dyDescent="0.25">
      <c r="A692" s="13">
        <v>19</v>
      </c>
      <c r="B692" s="13" t="s">
        <v>599</v>
      </c>
      <c r="C692" s="13" t="s">
        <v>550</v>
      </c>
      <c r="D692" s="13" t="s">
        <v>490</v>
      </c>
      <c r="E692" s="13" t="s">
        <v>475</v>
      </c>
      <c r="F692" s="13"/>
      <c r="G692" s="13"/>
      <c r="H692" s="13">
        <v>1</v>
      </c>
      <c r="I692" s="66">
        <f t="shared" si="74"/>
        <v>1</v>
      </c>
      <c r="J692" s="15">
        <f t="shared" si="75"/>
        <v>600.57182399999999</v>
      </c>
      <c r="K692" s="15">
        <f t="shared" si="76"/>
        <v>600.57182399999999</v>
      </c>
      <c r="L692" s="13">
        <v>52193</v>
      </c>
      <c r="M692" s="23">
        <v>46573</v>
      </c>
      <c r="N692" s="109"/>
      <c r="O692" s="13">
        <v>3.4</v>
      </c>
      <c r="P692" s="13">
        <v>3.81</v>
      </c>
      <c r="Q692" s="13">
        <v>2.3199999999999998</v>
      </c>
      <c r="R692" s="16">
        <v>157.63040000000001</v>
      </c>
    </row>
    <row r="693" spans="1:18" x14ac:dyDescent="0.25">
      <c r="A693" s="13">
        <v>20</v>
      </c>
      <c r="B693" s="13" t="s">
        <v>600</v>
      </c>
      <c r="C693" s="13" t="s">
        <v>550</v>
      </c>
      <c r="D693" s="13" t="s">
        <v>490</v>
      </c>
      <c r="E693" s="13" t="s">
        <v>475</v>
      </c>
      <c r="F693" s="13"/>
      <c r="G693" s="13"/>
      <c r="H693" s="13">
        <v>6</v>
      </c>
      <c r="I693" s="66">
        <f t="shared" si="74"/>
        <v>6</v>
      </c>
      <c r="J693" s="15">
        <f t="shared" si="75"/>
        <v>1199.567344</v>
      </c>
      <c r="K693" s="15">
        <f t="shared" si="76"/>
        <v>7197.4040640000003</v>
      </c>
      <c r="L693" s="13">
        <v>52193</v>
      </c>
      <c r="M693" s="23">
        <v>46696</v>
      </c>
      <c r="N693" s="109"/>
      <c r="O693" s="13">
        <v>6.8</v>
      </c>
      <c r="P693" s="13">
        <v>7.61</v>
      </c>
      <c r="Q693" s="13">
        <v>4.6500000000000004</v>
      </c>
      <c r="R693" s="16">
        <v>157.63040000000001</v>
      </c>
    </row>
    <row r="694" spans="1:18" ht="30" x14ac:dyDescent="0.25">
      <c r="A694" s="13">
        <v>21</v>
      </c>
      <c r="B694" s="14" t="s">
        <v>601</v>
      </c>
      <c r="C694" s="13" t="s">
        <v>602</v>
      </c>
      <c r="D694" s="13" t="s">
        <v>603</v>
      </c>
      <c r="E694" s="13" t="s">
        <v>243</v>
      </c>
      <c r="F694" s="13"/>
      <c r="G694" s="13"/>
      <c r="H694" s="13">
        <v>34</v>
      </c>
      <c r="I694" s="66">
        <f t="shared" si="74"/>
        <v>34</v>
      </c>
      <c r="J694" s="15">
        <f t="shared" si="75"/>
        <v>758.202224</v>
      </c>
      <c r="K694" s="15">
        <f t="shared" si="76"/>
        <v>25778.875616000001</v>
      </c>
      <c r="L694" s="13">
        <v>52193</v>
      </c>
      <c r="M694" s="23">
        <v>46512</v>
      </c>
      <c r="N694" s="109"/>
      <c r="O694" s="13">
        <v>4.29</v>
      </c>
      <c r="P694" s="13">
        <v>4.8099999999999996</v>
      </c>
      <c r="Q694" s="13">
        <v>4.3600000000000003</v>
      </c>
      <c r="R694" s="16">
        <v>157.63040000000001</v>
      </c>
    </row>
    <row r="695" spans="1:18" ht="30" x14ac:dyDescent="0.25">
      <c r="A695" s="13">
        <v>22</v>
      </c>
      <c r="B695" s="14" t="s">
        <v>604</v>
      </c>
      <c r="C695" s="13" t="s">
        <v>602</v>
      </c>
      <c r="D695" s="13" t="s">
        <v>603</v>
      </c>
      <c r="E695" s="13" t="s">
        <v>26</v>
      </c>
      <c r="F695" s="13"/>
      <c r="G695" s="13"/>
      <c r="H695" s="13">
        <v>177</v>
      </c>
      <c r="I695" s="66">
        <f t="shared" si="74"/>
        <v>177</v>
      </c>
      <c r="J695" s="15">
        <f t="shared" si="75"/>
        <v>31.526080000000004</v>
      </c>
      <c r="K695" s="15">
        <f t="shared" si="76"/>
        <v>5580.1161600000005</v>
      </c>
      <c r="L695" s="13">
        <v>52193</v>
      </c>
      <c r="M695" s="13" t="s">
        <v>605</v>
      </c>
      <c r="N695" s="109"/>
      <c r="O695" s="13">
        <v>0.17</v>
      </c>
      <c r="P695" s="13">
        <v>0.2</v>
      </c>
      <c r="Q695" s="13">
        <v>0.18</v>
      </c>
      <c r="R695" s="16">
        <v>157.63040000000001</v>
      </c>
    </row>
    <row r="696" spans="1:18" ht="30" x14ac:dyDescent="0.25">
      <c r="A696" s="13">
        <v>23</v>
      </c>
      <c r="B696" s="14" t="s">
        <v>606</v>
      </c>
      <c r="C696" s="13" t="s">
        <v>602</v>
      </c>
      <c r="D696" s="13" t="s">
        <v>603</v>
      </c>
      <c r="E696" s="13" t="s">
        <v>475</v>
      </c>
      <c r="F696" s="13"/>
      <c r="G696" s="13"/>
      <c r="H696" s="13">
        <v>4</v>
      </c>
      <c r="I696" s="66">
        <f t="shared" si="74"/>
        <v>4</v>
      </c>
      <c r="J696" s="15">
        <f t="shared" si="75"/>
        <v>1513.2518400000001</v>
      </c>
      <c r="K696" s="15">
        <f t="shared" si="76"/>
        <v>6053.0073600000005</v>
      </c>
      <c r="L696" s="13">
        <v>52194</v>
      </c>
      <c r="M696" s="23">
        <v>46604</v>
      </c>
      <c r="N696" s="109"/>
      <c r="O696" s="13">
        <v>8.58</v>
      </c>
      <c r="P696" s="13">
        <v>9.6</v>
      </c>
      <c r="Q696" s="13">
        <v>8.73</v>
      </c>
      <c r="R696" s="16">
        <v>157.63040000000001</v>
      </c>
    </row>
    <row r="697" spans="1:18" x14ac:dyDescent="0.25">
      <c r="A697" s="13">
        <v>24</v>
      </c>
      <c r="B697" s="14" t="s">
        <v>607</v>
      </c>
      <c r="C697" s="13" t="s">
        <v>598</v>
      </c>
      <c r="D697" s="13" t="s">
        <v>490</v>
      </c>
      <c r="E697" s="13" t="s">
        <v>475</v>
      </c>
      <c r="F697" s="13"/>
      <c r="G697" s="13"/>
      <c r="H697" s="13">
        <v>1</v>
      </c>
      <c r="I697" s="66">
        <f t="shared" si="74"/>
        <v>1</v>
      </c>
      <c r="J697" s="15">
        <f t="shared" si="75"/>
        <v>2074.416064</v>
      </c>
      <c r="K697" s="15">
        <f t="shared" si="76"/>
        <v>2074.416064</v>
      </c>
      <c r="L697" s="13">
        <v>52194</v>
      </c>
      <c r="M697" s="13" t="s">
        <v>608</v>
      </c>
      <c r="N697" s="109"/>
      <c r="O697" s="13">
        <v>11.76</v>
      </c>
      <c r="P697" s="13">
        <v>13.16</v>
      </c>
      <c r="Q697" s="13">
        <v>9.7089999999999996</v>
      </c>
      <c r="R697" s="16">
        <v>157.63040000000001</v>
      </c>
    </row>
    <row r="698" spans="1:18" x14ac:dyDescent="0.25">
      <c r="A698" s="13">
        <v>25</v>
      </c>
      <c r="B698" s="14" t="s">
        <v>609</v>
      </c>
      <c r="C698" s="13" t="s">
        <v>505</v>
      </c>
      <c r="D698" s="13" t="s">
        <v>502</v>
      </c>
      <c r="E698" s="13" t="s">
        <v>475</v>
      </c>
      <c r="F698" s="13"/>
      <c r="G698" s="13"/>
      <c r="H698" s="13">
        <v>4</v>
      </c>
      <c r="I698" s="66">
        <f t="shared" si="74"/>
        <v>4</v>
      </c>
      <c r="J698" s="15">
        <f t="shared" si="75"/>
        <v>3642.8385440000002</v>
      </c>
      <c r="K698" s="15">
        <f t="shared" si="76"/>
        <v>14571.354176000001</v>
      </c>
      <c r="L698" s="13">
        <v>52194</v>
      </c>
      <c r="M698" s="23">
        <v>46753</v>
      </c>
      <c r="N698" s="109"/>
      <c r="O698" s="13">
        <v>20.64</v>
      </c>
      <c r="P698" s="13">
        <v>23.11</v>
      </c>
      <c r="Q698" s="13">
        <v>17.05</v>
      </c>
      <c r="R698" s="16">
        <v>157.63040000000001</v>
      </c>
    </row>
    <row r="699" spans="1:18" x14ac:dyDescent="0.25">
      <c r="A699" s="13">
        <v>26</v>
      </c>
      <c r="B699" s="14" t="s">
        <v>610</v>
      </c>
      <c r="C699" s="13" t="s">
        <v>611</v>
      </c>
      <c r="D699" s="13" t="s">
        <v>34</v>
      </c>
      <c r="E699" s="13" t="s">
        <v>475</v>
      </c>
      <c r="F699" s="13"/>
      <c r="G699" s="13"/>
      <c r="H699" s="13">
        <v>1</v>
      </c>
      <c r="I699" s="66">
        <f t="shared" si="74"/>
        <v>1</v>
      </c>
      <c r="J699" s="15">
        <f t="shared" si="75"/>
        <v>2859.4154560000002</v>
      </c>
      <c r="K699" s="15">
        <f t="shared" si="76"/>
        <v>2859.4154560000002</v>
      </c>
      <c r="L699" s="13">
        <v>52194</v>
      </c>
      <c r="M699" s="23">
        <v>46395</v>
      </c>
      <c r="N699" s="110"/>
      <c r="O699" s="13">
        <v>16.2</v>
      </c>
      <c r="P699" s="13">
        <v>18.14</v>
      </c>
      <c r="Q699" s="13">
        <v>16.48</v>
      </c>
      <c r="R699" s="16">
        <v>157.63040000000001</v>
      </c>
    </row>
    <row r="700" spans="1:18" x14ac:dyDescent="0.25">
      <c r="A700" s="13">
        <v>27</v>
      </c>
      <c r="B700" s="14" t="s">
        <v>612</v>
      </c>
      <c r="C700" s="13" t="s">
        <v>613</v>
      </c>
      <c r="D700" s="13" t="s">
        <v>34</v>
      </c>
      <c r="E700" s="13" t="s">
        <v>475</v>
      </c>
      <c r="F700" s="13"/>
      <c r="G700" s="13"/>
      <c r="H700" s="13">
        <v>7</v>
      </c>
      <c r="I700" s="66">
        <f t="shared" si="74"/>
        <v>7</v>
      </c>
      <c r="J700" s="15">
        <f t="shared" si="75"/>
        <v>3001.2828159999999</v>
      </c>
      <c r="K700" s="15">
        <f t="shared" si="76"/>
        <v>21008.979712</v>
      </c>
      <c r="L700" s="13">
        <v>52194</v>
      </c>
      <c r="M700" s="23">
        <v>46394</v>
      </c>
      <c r="N700" s="108" t="s">
        <v>695</v>
      </c>
      <c r="O700" s="13">
        <v>17</v>
      </c>
      <c r="P700" s="13">
        <v>19.04</v>
      </c>
      <c r="Q700" s="13">
        <v>17.29</v>
      </c>
      <c r="R700" s="16">
        <v>157.63040000000001</v>
      </c>
    </row>
    <row r="701" spans="1:18" x14ac:dyDescent="0.25">
      <c r="A701" s="13">
        <v>28</v>
      </c>
      <c r="B701" s="14" t="s">
        <v>614</v>
      </c>
      <c r="C701" s="13" t="s">
        <v>615</v>
      </c>
      <c r="D701" s="13" t="s">
        <v>616</v>
      </c>
      <c r="E701" s="13" t="s">
        <v>243</v>
      </c>
      <c r="F701" s="13"/>
      <c r="G701" s="13"/>
      <c r="H701" s="13">
        <v>11</v>
      </c>
      <c r="I701" s="66">
        <f t="shared" si="74"/>
        <v>11</v>
      </c>
      <c r="J701" s="15">
        <f t="shared" si="75"/>
        <v>800.7624320000001</v>
      </c>
      <c r="K701" s="15">
        <f t="shared" si="76"/>
        <v>8808.3867520000003</v>
      </c>
      <c r="L701" s="13">
        <v>52194</v>
      </c>
      <c r="M701" s="13" t="s">
        <v>573</v>
      </c>
      <c r="N701" s="109"/>
      <c r="O701" s="13">
        <v>4.53</v>
      </c>
      <c r="P701" s="13">
        <v>5.08</v>
      </c>
      <c r="Q701" s="13">
        <v>5.92</v>
      </c>
      <c r="R701" s="16">
        <v>157.63040000000001</v>
      </c>
    </row>
    <row r="702" spans="1:18" x14ac:dyDescent="0.25">
      <c r="A702" s="13">
        <v>29</v>
      </c>
      <c r="B702" s="14" t="s">
        <v>617</v>
      </c>
      <c r="C702" s="13" t="s">
        <v>598</v>
      </c>
      <c r="D702" s="13" t="s">
        <v>490</v>
      </c>
      <c r="E702" s="13" t="s">
        <v>475</v>
      </c>
      <c r="F702" s="13"/>
      <c r="G702" s="13"/>
      <c r="H702" s="13">
        <v>3</v>
      </c>
      <c r="I702" s="66">
        <f t="shared" si="74"/>
        <v>3</v>
      </c>
      <c r="J702" s="15">
        <f t="shared" si="75"/>
        <v>1182.2280000000001</v>
      </c>
      <c r="K702" s="15">
        <f t="shared" si="76"/>
        <v>3546.6840000000002</v>
      </c>
      <c r="L702" s="13">
        <v>52194</v>
      </c>
      <c r="M702" s="23">
        <v>46394</v>
      </c>
      <c r="N702" s="109"/>
      <c r="O702" s="13">
        <v>6.7</v>
      </c>
      <c r="P702" s="13">
        <v>7.5</v>
      </c>
      <c r="Q702" s="13">
        <v>5.54</v>
      </c>
      <c r="R702" s="16">
        <v>157.63040000000001</v>
      </c>
    </row>
    <row r="703" spans="1:18" x14ac:dyDescent="0.25">
      <c r="A703" s="13">
        <v>30</v>
      </c>
      <c r="B703" s="14" t="s">
        <v>549</v>
      </c>
      <c r="C703" s="13" t="s">
        <v>618</v>
      </c>
      <c r="D703" s="13" t="s">
        <v>547</v>
      </c>
      <c r="E703" s="13" t="s">
        <v>475</v>
      </c>
      <c r="F703" s="13"/>
      <c r="G703" s="13"/>
      <c r="H703" s="13">
        <v>2</v>
      </c>
      <c r="I703" s="66">
        <f t="shared" si="74"/>
        <v>2</v>
      </c>
      <c r="J703" s="15">
        <f t="shared" si="75"/>
        <v>598.99552000000006</v>
      </c>
      <c r="K703" s="15">
        <f t="shared" si="76"/>
        <v>1197.9910400000001</v>
      </c>
      <c r="L703" s="13">
        <v>52051</v>
      </c>
      <c r="M703" s="13" t="s">
        <v>619</v>
      </c>
      <c r="N703" s="109"/>
      <c r="O703" s="13">
        <v>3.4</v>
      </c>
      <c r="P703" s="13">
        <v>3.8</v>
      </c>
      <c r="Q703" s="13">
        <v>2.33</v>
      </c>
      <c r="R703" s="16">
        <v>157.63040000000001</v>
      </c>
    </row>
    <row r="704" spans="1:18" x14ac:dyDescent="0.25">
      <c r="A704" s="13">
        <v>31</v>
      </c>
      <c r="B704" s="14" t="s">
        <v>620</v>
      </c>
      <c r="C704" s="13" t="s">
        <v>621</v>
      </c>
      <c r="D704" s="13" t="s">
        <v>34</v>
      </c>
      <c r="E704" s="13" t="s">
        <v>475</v>
      </c>
      <c r="F704" s="13"/>
      <c r="G704" s="13"/>
      <c r="H704" s="13">
        <v>3</v>
      </c>
      <c r="I704" s="66">
        <f t="shared" si="74"/>
        <v>3</v>
      </c>
      <c r="J704" s="15">
        <f t="shared" si="75"/>
        <v>1513.2518400000001</v>
      </c>
      <c r="K704" s="15">
        <f t="shared" si="76"/>
        <v>4539.7555200000006</v>
      </c>
      <c r="L704" s="13">
        <v>52051</v>
      </c>
      <c r="M704" s="23">
        <v>46391</v>
      </c>
      <c r="N704" s="109"/>
      <c r="O704" s="13">
        <v>8.58</v>
      </c>
      <c r="P704" s="13">
        <v>9.6</v>
      </c>
      <c r="Q704" s="13">
        <v>8.7309999999999999</v>
      </c>
      <c r="R704" s="16">
        <v>157.63040000000001</v>
      </c>
    </row>
    <row r="705" spans="1:18" x14ac:dyDescent="0.25">
      <c r="A705" s="13">
        <v>32</v>
      </c>
      <c r="B705" s="14" t="s">
        <v>568</v>
      </c>
      <c r="C705" s="13" t="s">
        <v>622</v>
      </c>
      <c r="D705" s="13" t="s">
        <v>623</v>
      </c>
      <c r="E705" s="13" t="s">
        <v>475</v>
      </c>
      <c r="F705" s="13"/>
      <c r="G705" s="13"/>
      <c r="H705" s="13">
        <v>1</v>
      </c>
      <c r="I705" s="66">
        <f t="shared" si="74"/>
        <v>1</v>
      </c>
      <c r="J705" s="15">
        <f t="shared" si="75"/>
        <v>1729.2054880000003</v>
      </c>
      <c r="K705" s="15">
        <f t="shared" si="76"/>
        <v>1729.2054880000003</v>
      </c>
      <c r="L705" s="13">
        <v>52051</v>
      </c>
      <c r="M705" s="13" t="s">
        <v>573</v>
      </c>
      <c r="N705" s="109"/>
      <c r="O705" s="13">
        <v>9.8000000000000007</v>
      </c>
      <c r="P705" s="13">
        <v>10.97</v>
      </c>
      <c r="Q705" s="13">
        <v>8.09</v>
      </c>
      <c r="R705" s="16">
        <v>157.63040000000001</v>
      </c>
    </row>
    <row r="706" spans="1:18" x14ac:dyDescent="0.25">
      <c r="A706" s="13">
        <v>33</v>
      </c>
      <c r="B706" s="14" t="s">
        <v>624</v>
      </c>
      <c r="C706" s="13" t="s">
        <v>625</v>
      </c>
      <c r="D706" s="13" t="s">
        <v>626</v>
      </c>
      <c r="E706" s="13" t="s">
        <v>563</v>
      </c>
      <c r="F706" s="13"/>
      <c r="G706" s="13"/>
      <c r="H706" s="13">
        <v>15</v>
      </c>
      <c r="I706" s="66">
        <f t="shared" si="74"/>
        <v>15</v>
      </c>
      <c r="J706" s="15">
        <f t="shared" si="75"/>
        <v>2132.7393120000002</v>
      </c>
      <c r="K706" s="15">
        <f t="shared" si="76"/>
        <v>31991.089680000001</v>
      </c>
      <c r="L706" s="13">
        <v>52051</v>
      </c>
      <c r="M706" s="23">
        <v>46028</v>
      </c>
      <c r="N706" s="109"/>
      <c r="O706" s="13">
        <v>12.08</v>
      </c>
      <c r="P706" s="13">
        <v>13.53</v>
      </c>
      <c r="Q706" s="13">
        <v>5.48</v>
      </c>
      <c r="R706" s="16">
        <v>157.63040000000001</v>
      </c>
    </row>
    <row r="707" spans="1:18" x14ac:dyDescent="0.25">
      <c r="A707" s="13">
        <v>34</v>
      </c>
      <c r="B707" s="14" t="s">
        <v>627</v>
      </c>
      <c r="C707" s="13" t="s">
        <v>628</v>
      </c>
      <c r="D707" s="13" t="s">
        <v>490</v>
      </c>
      <c r="E707" s="13" t="s">
        <v>514</v>
      </c>
      <c r="F707" s="13"/>
      <c r="G707" s="13"/>
      <c r="H707" s="13">
        <v>11</v>
      </c>
      <c r="I707" s="66">
        <f t="shared" si="74"/>
        <v>11</v>
      </c>
      <c r="J707" s="15">
        <f t="shared" si="75"/>
        <v>192.309088</v>
      </c>
      <c r="K707" s="15">
        <f t="shared" si="76"/>
        <v>2115.3999680000002</v>
      </c>
      <c r="L707" s="13">
        <v>52051</v>
      </c>
      <c r="M707" s="23">
        <v>46392</v>
      </c>
      <c r="N707" s="109"/>
      <c r="O707" s="13">
        <v>1.0900000000000001</v>
      </c>
      <c r="P707" s="13">
        <v>1.22</v>
      </c>
      <c r="Q707" s="13">
        <v>0.43</v>
      </c>
      <c r="R707" s="16">
        <v>157.63040000000001</v>
      </c>
    </row>
    <row r="708" spans="1:18" x14ac:dyDescent="0.25">
      <c r="A708" s="13">
        <v>35</v>
      </c>
      <c r="B708" s="14" t="s">
        <v>629</v>
      </c>
      <c r="C708" s="13" t="s">
        <v>630</v>
      </c>
      <c r="D708" s="13" t="s">
        <v>631</v>
      </c>
      <c r="E708" s="13" t="s">
        <v>514</v>
      </c>
      <c r="F708" s="13"/>
      <c r="G708" s="13"/>
      <c r="H708" s="13">
        <v>5</v>
      </c>
      <c r="I708" s="66">
        <f t="shared" si="74"/>
        <v>5</v>
      </c>
      <c r="J708" s="15">
        <f t="shared" si="75"/>
        <v>390.92339200000004</v>
      </c>
      <c r="K708" s="15">
        <f t="shared" si="76"/>
        <v>1954.6169600000003</v>
      </c>
      <c r="L708" s="13">
        <v>52051</v>
      </c>
      <c r="M708" s="23">
        <v>46609</v>
      </c>
      <c r="N708" s="109"/>
      <c r="O708" s="13">
        <v>2.2200000000000002</v>
      </c>
      <c r="P708" s="13">
        <v>2.48</v>
      </c>
      <c r="Q708" s="13">
        <v>0.59</v>
      </c>
      <c r="R708" s="16">
        <v>157.63040000000001</v>
      </c>
    </row>
    <row r="709" spans="1:18" x14ac:dyDescent="0.25">
      <c r="A709" s="13">
        <v>36</v>
      </c>
      <c r="B709" s="14" t="s">
        <v>632</v>
      </c>
      <c r="C709" s="13" t="s">
        <v>633</v>
      </c>
      <c r="D709" s="13" t="s">
        <v>547</v>
      </c>
      <c r="E709" s="13" t="s">
        <v>475</v>
      </c>
      <c r="F709" s="13"/>
      <c r="G709" s="13"/>
      <c r="H709" s="13">
        <v>3</v>
      </c>
      <c r="I709" s="66">
        <f t="shared" si="74"/>
        <v>3</v>
      </c>
      <c r="J709" s="15">
        <f t="shared" si="75"/>
        <v>945.78240000000005</v>
      </c>
      <c r="K709" s="15">
        <f t="shared" si="76"/>
        <v>2837.3472000000002</v>
      </c>
      <c r="L709" s="13">
        <v>52051</v>
      </c>
      <c r="M709" s="23">
        <v>46399</v>
      </c>
      <c r="N709" s="109"/>
      <c r="O709" s="13">
        <v>5.36</v>
      </c>
      <c r="P709" s="13">
        <v>6</v>
      </c>
      <c r="Q709" s="13">
        <v>5.46</v>
      </c>
      <c r="R709" s="16">
        <v>157.63040000000001</v>
      </c>
    </row>
    <row r="710" spans="1:18" x14ac:dyDescent="0.25">
      <c r="A710" s="13">
        <v>37</v>
      </c>
      <c r="B710" s="14" t="s">
        <v>634</v>
      </c>
      <c r="C710" s="13" t="s">
        <v>635</v>
      </c>
      <c r="D710" s="13" t="s">
        <v>36</v>
      </c>
      <c r="E710" s="13" t="s">
        <v>202</v>
      </c>
      <c r="F710" s="13"/>
      <c r="G710" s="13"/>
      <c r="H710" s="13">
        <v>149</v>
      </c>
      <c r="I710" s="66">
        <f t="shared" si="74"/>
        <v>149</v>
      </c>
      <c r="J710" s="15">
        <f t="shared" si="75"/>
        <v>119.79910400000001</v>
      </c>
      <c r="K710" s="15">
        <f t="shared" si="76"/>
        <v>17850.066496000003</v>
      </c>
      <c r="L710" s="13">
        <v>52056</v>
      </c>
      <c r="M710" s="13" t="s">
        <v>636</v>
      </c>
      <c r="N710" s="109"/>
      <c r="O710" s="13">
        <v>0.68</v>
      </c>
      <c r="P710" s="13">
        <v>0.76</v>
      </c>
      <c r="Q710" s="13">
        <v>0.46</v>
      </c>
      <c r="R710" s="16">
        <v>157.63040000000001</v>
      </c>
    </row>
    <row r="711" spans="1:18" x14ac:dyDescent="0.25">
      <c r="A711" s="13">
        <v>38</v>
      </c>
      <c r="B711" s="14" t="s">
        <v>637</v>
      </c>
      <c r="C711" s="13" t="s">
        <v>638</v>
      </c>
      <c r="D711" s="13" t="s">
        <v>34</v>
      </c>
      <c r="E711" s="13" t="s">
        <v>639</v>
      </c>
      <c r="F711" s="13"/>
      <c r="G711" s="13"/>
      <c r="H711" s="13">
        <v>21</v>
      </c>
      <c r="I711" s="66">
        <f t="shared" si="74"/>
        <v>21</v>
      </c>
      <c r="J711" s="15">
        <f t="shared" si="75"/>
        <v>504.41728000000006</v>
      </c>
      <c r="K711" s="15">
        <f t="shared" si="76"/>
        <v>10592.762880000002</v>
      </c>
      <c r="L711" s="13">
        <v>52056</v>
      </c>
      <c r="M711" s="23">
        <v>46390</v>
      </c>
      <c r="N711" s="109"/>
      <c r="O711" s="13">
        <v>2.86</v>
      </c>
      <c r="P711" s="13">
        <v>3.2</v>
      </c>
      <c r="Q711" s="13">
        <v>2.91</v>
      </c>
      <c r="R711" s="16">
        <v>157.63040000000001</v>
      </c>
    </row>
    <row r="712" spans="1:18" x14ac:dyDescent="0.25">
      <c r="A712" s="13">
        <v>39</v>
      </c>
      <c r="B712" s="14" t="s">
        <v>640</v>
      </c>
      <c r="C712" s="13" t="s">
        <v>591</v>
      </c>
      <c r="D712" s="13" t="s">
        <v>592</v>
      </c>
      <c r="E712" s="13" t="s">
        <v>26</v>
      </c>
      <c r="F712" s="13"/>
      <c r="G712" s="13"/>
      <c r="H712" s="13">
        <v>300</v>
      </c>
      <c r="I712" s="66">
        <f t="shared" si="74"/>
        <v>300</v>
      </c>
      <c r="J712" s="15">
        <f t="shared" si="75"/>
        <v>20.491952000000001</v>
      </c>
      <c r="K712" s="15">
        <f t="shared" si="76"/>
        <v>6147.5856000000003</v>
      </c>
      <c r="L712" s="13">
        <v>52056</v>
      </c>
      <c r="M712" s="23">
        <v>46389</v>
      </c>
      <c r="N712" s="109"/>
      <c r="O712" s="13">
        <v>0.11</v>
      </c>
      <c r="P712" s="13">
        <v>0.13</v>
      </c>
      <c r="Q712" s="13">
        <v>0.03</v>
      </c>
      <c r="R712" s="16">
        <v>157.63040000000001</v>
      </c>
    </row>
    <row r="713" spans="1:18" x14ac:dyDescent="0.25">
      <c r="A713" s="13">
        <v>40</v>
      </c>
      <c r="B713" s="14" t="s">
        <v>640</v>
      </c>
      <c r="C713" s="13" t="s">
        <v>598</v>
      </c>
      <c r="D713" s="13" t="s">
        <v>592</v>
      </c>
      <c r="E713" s="13" t="s">
        <v>26</v>
      </c>
      <c r="F713" s="13"/>
      <c r="G713" s="13"/>
      <c r="H713" s="13">
        <v>200</v>
      </c>
      <c r="I713" s="66">
        <f t="shared" si="74"/>
        <v>200</v>
      </c>
      <c r="J713" s="15">
        <f t="shared" si="75"/>
        <v>20.491952000000001</v>
      </c>
      <c r="K713" s="15">
        <f t="shared" si="76"/>
        <v>4098.3904000000002</v>
      </c>
      <c r="L713" s="13">
        <v>52056</v>
      </c>
      <c r="M713" s="23">
        <v>46391</v>
      </c>
      <c r="N713" s="109"/>
      <c r="O713" s="13">
        <v>0.11</v>
      </c>
      <c r="P713" s="13">
        <v>0.13</v>
      </c>
      <c r="Q713" s="13">
        <v>0.03</v>
      </c>
      <c r="R713" s="16">
        <v>157.63040000000001</v>
      </c>
    </row>
    <row r="714" spans="1:18" x14ac:dyDescent="0.25">
      <c r="A714" s="13">
        <v>41</v>
      </c>
      <c r="B714" s="14" t="s">
        <v>641</v>
      </c>
      <c r="C714" s="13" t="s">
        <v>572</v>
      </c>
      <c r="D714" s="13" t="s">
        <v>122</v>
      </c>
      <c r="E714" s="13" t="s">
        <v>26</v>
      </c>
      <c r="F714" s="13"/>
      <c r="G714" s="13"/>
      <c r="H714" s="13">
        <v>170</v>
      </c>
      <c r="I714" s="66">
        <f t="shared" si="74"/>
        <v>170</v>
      </c>
      <c r="J714" s="15">
        <f t="shared" si="75"/>
        <v>86.696720000000013</v>
      </c>
      <c r="K714" s="15">
        <f t="shared" si="76"/>
        <v>14738.442400000002</v>
      </c>
      <c r="L714" s="13">
        <v>52057</v>
      </c>
      <c r="M714" s="23">
        <v>46548</v>
      </c>
      <c r="N714" s="109"/>
      <c r="O714" s="13">
        <v>0.49</v>
      </c>
      <c r="P714" s="13">
        <v>0.55000000000000004</v>
      </c>
      <c r="Q714" s="13">
        <v>0.4</v>
      </c>
      <c r="R714" s="16">
        <v>157.63040000000001</v>
      </c>
    </row>
    <row r="715" spans="1:18" x14ac:dyDescent="0.25">
      <c r="A715" s="13">
        <v>42</v>
      </c>
      <c r="B715" s="14" t="s">
        <v>642</v>
      </c>
      <c r="C715" s="13" t="s">
        <v>643</v>
      </c>
      <c r="D715" s="13" t="s">
        <v>547</v>
      </c>
      <c r="E715" s="13" t="s">
        <v>475</v>
      </c>
      <c r="F715" s="13"/>
      <c r="G715" s="13"/>
      <c r="H715" s="13">
        <v>73</v>
      </c>
      <c r="I715" s="66">
        <f t="shared" si="74"/>
        <v>73</v>
      </c>
      <c r="J715" s="15">
        <f t="shared" si="75"/>
        <v>959.96913600000005</v>
      </c>
      <c r="K715" s="15">
        <f t="shared" si="76"/>
        <v>70077.746928000008</v>
      </c>
      <c r="L715" s="13">
        <v>52073</v>
      </c>
      <c r="M715" s="13" t="s">
        <v>644</v>
      </c>
      <c r="N715" s="109"/>
      <c r="O715" s="13">
        <v>5.44</v>
      </c>
      <c r="P715" s="13">
        <v>6.09</v>
      </c>
      <c r="Q715" s="13">
        <v>3.72</v>
      </c>
      <c r="R715" s="16">
        <v>157.63040000000001</v>
      </c>
    </row>
    <row r="716" spans="1:18" x14ac:dyDescent="0.25">
      <c r="A716" s="13">
        <v>43</v>
      </c>
      <c r="B716" s="14" t="s">
        <v>642</v>
      </c>
      <c r="C716" s="13" t="s">
        <v>36</v>
      </c>
      <c r="D716" s="13" t="s">
        <v>36</v>
      </c>
      <c r="E716" s="13" t="s">
        <v>475</v>
      </c>
      <c r="F716" s="13"/>
      <c r="G716" s="13"/>
      <c r="H716" s="13">
        <v>6</v>
      </c>
      <c r="I716" s="66">
        <f t="shared" si="74"/>
        <v>6</v>
      </c>
      <c r="J716" s="15">
        <f t="shared" si="75"/>
        <v>959.96913600000005</v>
      </c>
      <c r="K716" s="15">
        <f t="shared" si="76"/>
        <v>5759.8148160000001</v>
      </c>
      <c r="L716" s="13">
        <v>52073</v>
      </c>
      <c r="M716" s="13" t="s">
        <v>645</v>
      </c>
      <c r="N716" s="109"/>
      <c r="O716" s="13">
        <v>5.44</v>
      </c>
      <c r="P716" s="13">
        <v>6.09</v>
      </c>
      <c r="Q716" s="13">
        <v>3.72</v>
      </c>
      <c r="R716" s="16">
        <v>157.63040000000001</v>
      </c>
    </row>
    <row r="717" spans="1:18" x14ac:dyDescent="0.25">
      <c r="A717" s="13">
        <v>44</v>
      </c>
      <c r="B717" s="14" t="s">
        <v>549</v>
      </c>
      <c r="C717" s="13" t="s">
        <v>550</v>
      </c>
      <c r="D717" s="13" t="s">
        <v>490</v>
      </c>
      <c r="E717" s="13" t="s">
        <v>475</v>
      </c>
      <c r="F717" s="13"/>
      <c r="G717" s="13"/>
      <c r="H717" s="13">
        <v>19</v>
      </c>
      <c r="I717" s="66">
        <f t="shared" si="74"/>
        <v>19</v>
      </c>
      <c r="J717" s="15">
        <f t="shared" si="75"/>
        <v>600.57182399999999</v>
      </c>
      <c r="K717" s="15">
        <f t="shared" si="76"/>
        <v>11410.864656</v>
      </c>
      <c r="L717" s="13">
        <v>52073</v>
      </c>
      <c r="M717" s="23">
        <v>46723</v>
      </c>
      <c r="N717" s="109"/>
      <c r="O717" s="13">
        <v>3.4</v>
      </c>
      <c r="P717" s="13">
        <v>3.81</v>
      </c>
      <c r="Q717" s="13">
        <v>2.3199999999999998</v>
      </c>
      <c r="R717" s="16">
        <v>157.63040000000001</v>
      </c>
    </row>
    <row r="718" spans="1:18" x14ac:dyDescent="0.25">
      <c r="A718" s="13">
        <v>45</v>
      </c>
      <c r="B718" s="14" t="s">
        <v>646</v>
      </c>
      <c r="C718" s="13" t="s">
        <v>550</v>
      </c>
      <c r="D718" s="13" t="s">
        <v>490</v>
      </c>
      <c r="E718" s="13" t="s">
        <v>475</v>
      </c>
      <c r="F718" s="13"/>
      <c r="G718" s="13"/>
      <c r="H718" s="13">
        <v>6</v>
      </c>
      <c r="I718" s="66">
        <f t="shared" si="74"/>
        <v>6</v>
      </c>
      <c r="J718" s="15">
        <f t="shared" si="75"/>
        <v>1199.567344</v>
      </c>
      <c r="K718" s="15">
        <f t="shared" si="76"/>
        <v>7197.4040640000003</v>
      </c>
      <c r="L718" s="13">
        <v>52073</v>
      </c>
      <c r="M718" s="13" t="s">
        <v>647</v>
      </c>
      <c r="N718" s="109"/>
      <c r="O718" s="13">
        <v>6.8</v>
      </c>
      <c r="P718" s="13">
        <v>7.61</v>
      </c>
      <c r="Q718" s="13">
        <v>4.6500000000000004</v>
      </c>
      <c r="R718" s="16">
        <v>157.63040000000001</v>
      </c>
    </row>
    <row r="719" spans="1:18" x14ac:dyDescent="0.25">
      <c r="A719" s="13">
        <v>46</v>
      </c>
      <c r="B719" s="14" t="s">
        <v>634</v>
      </c>
      <c r="C719" s="13" t="s">
        <v>36</v>
      </c>
      <c r="D719" s="13" t="s">
        <v>36</v>
      </c>
      <c r="E719" s="13" t="s">
        <v>202</v>
      </c>
      <c r="F719" s="13"/>
      <c r="G719" s="13"/>
      <c r="H719" s="13">
        <v>30</v>
      </c>
      <c r="I719" s="66">
        <f t="shared" si="74"/>
        <v>30</v>
      </c>
      <c r="J719" s="15">
        <f t="shared" si="75"/>
        <v>119.79910400000001</v>
      </c>
      <c r="K719" s="15">
        <f t="shared" si="76"/>
        <v>3593.9731200000006</v>
      </c>
      <c r="L719" s="13">
        <v>52073</v>
      </c>
      <c r="M719" s="13" t="s">
        <v>648</v>
      </c>
      <c r="N719" s="109"/>
      <c r="O719" s="13">
        <v>0.68</v>
      </c>
      <c r="P719" s="13">
        <v>0.76</v>
      </c>
      <c r="Q719" s="13">
        <v>0.46</v>
      </c>
      <c r="R719" s="16">
        <v>157.63040000000001</v>
      </c>
    </row>
    <row r="720" spans="1:18" x14ac:dyDescent="0.25">
      <c r="A720" s="13">
        <v>47</v>
      </c>
      <c r="B720" s="14" t="s">
        <v>634</v>
      </c>
      <c r="C720" s="13" t="s">
        <v>643</v>
      </c>
      <c r="D720" s="13" t="s">
        <v>547</v>
      </c>
      <c r="E720" s="13" t="s">
        <v>202</v>
      </c>
      <c r="F720" s="13"/>
      <c r="G720" s="13"/>
      <c r="H720" s="13">
        <v>1214</v>
      </c>
      <c r="I720" s="66">
        <f t="shared" si="74"/>
        <v>1214</v>
      </c>
      <c r="J720" s="15">
        <f t="shared" si="75"/>
        <v>119.79910400000001</v>
      </c>
      <c r="K720" s="15">
        <f t="shared" si="76"/>
        <v>145436.11225600002</v>
      </c>
      <c r="L720" s="13">
        <v>52073</v>
      </c>
      <c r="M720" s="13" t="s">
        <v>649</v>
      </c>
      <c r="N720" s="109"/>
      <c r="O720" s="13">
        <v>0.68</v>
      </c>
      <c r="P720" s="13">
        <v>0.76</v>
      </c>
      <c r="Q720" s="13">
        <v>0.46</v>
      </c>
      <c r="R720" s="16">
        <v>157.63040000000001</v>
      </c>
    </row>
    <row r="721" spans="1:18" x14ac:dyDescent="0.25">
      <c r="A721" s="13">
        <v>48</v>
      </c>
      <c r="B721" s="13" t="s">
        <v>565</v>
      </c>
      <c r="C721" s="13" t="s">
        <v>505</v>
      </c>
      <c r="D721" s="13" t="s">
        <v>566</v>
      </c>
      <c r="E721" s="13" t="s">
        <v>567</v>
      </c>
      <c r="F721" s="13"/>
      <c r="G721" s="13"/>
      <c r="H721" s="13">
        <v>55</v>
      </c>
      <c r="I721" s="66">
        <f t="shared" si="74"/>
        <v>55</v>
      </c>
      <c r="J721" s="15">
        <f t="shared" si="75"/>
        <v>4166.171472</v>
      </c>
      <c r="K721" s="15">
        <f t="shared" si="76"/>
        <v>229139.43096</v>
      </c>
      <c r="L721" s="13">
        <v>52073</v>
      </c>
      <c r="M721" s="23">
        <v>46877</v>
      </c>
      <c r="N721" s="109"/>
      <c r="O721" s="13">
        <v>23.6</v>
      </c>
      <c r="P721" s="13">
        <v>26.43</v>
      </c>
      <c r="Q721" s="13">
        <v>9.31</v>
      </c>
      <c r="R721" s="16">
        <v>157.63040000000001</v>
      </c>
    </row>
    <row r="722" spans="1:18" x14ac:dyDescent="0.25">
      <c r="A722" s="13">
        <v>49</v>
      </c>
      <c r="B722" s="13" t="s">
        <v>565</v>
      </c>
      <c r="C722" s="13" t="s">
        <v>574</v>
      </c>
      <c r="D722" s="13" t="s">
        <v>566</v>
      </c>
      <c r="E722" s="13" t="s">
        <v>567</v>
      </c>
      <c r="F722" s="13"/>
      <c r="G722" s="13"/>
      <c r="H722" s="13">
        <v>5</v>
      </c>
      <c r="I722" s="66">
        <f t="shared" si="74"/>
        <v>5</v>
      </c>
      <c r="J722" s="15">
        <f t="shared" si="75"/>
        <v>4166.171472</v>
      </c>
      <c r="K722" s="15">
        <f t="shared" si="76"/>
        <v>20830.857360000002</v>
      </c>
      <c r="L722" s="13">
        <v>52073</v>
      </c>
      <c r="M722" s="13" t="s">
        <v>650</v>
      </c>
      <c r="N722" s="109"/>
      <c r="O722" s="13">
        <v>23.6</v>
      </c>
      <c r="P722" s="13">
        <v>26.43</v>
      </c>
      <c r="Q722" s="13">
        <v>9.31</v>
      </c>
      <c r="R722" s="16">
        <v>157.63040000000001</v>
      </c>
    </row>
    <row r="723" spans="1:18" x14ac:dyDescent="0.25">
      <c r="A723" s="13">
        <v>50</v>
      </c>
      <c r="B723" s="14" t="s">
        <v>651</v>
      </c>
      <c r="C723" s="13" t="s">
        <v>530</v>
      </c>
      <c r="D723" s="13" t="s">
        <v>531</v>
      </c>
      <c r="E723" s="13" t="s">
        <v>475</v>
      </c>
      <c r="F723" s="13"/>
      <c r="G723" s="13"/>
      <c r="H723" s="13">
        <v>6</v>
      </c>
      <c r="I723" s="66">
        <f t="shared" si="74"/>
        <v>6</v>
      </c>
      <c r="J723" s="15">
        <f t="shared" si="75"/>
        <v>6620.4768000000004</v>
      </c>
      <c r="K723" s="15">
        <f t="shared" si="76"/>
        <v>39722.860800000002</v>
      </c>
      <c r="L723" s="13">
        <v>52073</v>
      </c>
      <c r="M723" s="23">
        <v>46759</v>
      </c>
      <c r="N723" s="109"/>
      <c r="O723" s="13">
        <v>37.5</v>
      </c>
      <c r="P723" s="13">
        <v>42</v>
      </c>
      <c r="Q723" s="13">
        <v>48.92</v>
      </c>
      <c r="R723" s="16">
        <v>157.63040000000001</v>
      </c>
    </row>
    <row r="724" spans="1:18" x14ac:dyDescent="0.25">
      <c r="A724" s="13">
        <v>51</v>
      </c>
      <c r="B724" s="14" t="s">
        <v>652</v>
      </c>
      <c r="C724" s="13" t="s">
        <v>530</v>
      </c>
      <c r="D724" s="13" t="s">
        <v>531</v>
      </c>
      <c r="E724" s="13" t="s">
        <v>514</v>
      </c>
      <c r="F724" s="13"/>
      <c r="G724" s="13"/>
      <c r="H724" s="13">
        <v>44</v>
      </c>
      <c r="I724" s="66">
        <f t="shared" si="74"/>
        <v>44</v>
      </c>
      <c r="J724" s="15">
        <f t="shared" si="75"/>
        <v>1103.4128000000001</v>
      </c>
      <c r="K724" s="15">
        <f t="shared" si="76"/>
        <v>48550.163200000003</v>
      </c>
      <c r="L724" s="13">
        <v>52073</v>
      </c>
      <c r="M724" s="23">
        <v>46759</v>
      </c>
      <c r="N724" s="109"/>
      <c r="O724" s="13">
        <v>6.25</v>
      </c>
      <c r="P724" s="13">
        <v>7</v>
      </c>
      <c r="Q724" s="13">
        <v>8.15</v>
      </c>
      <c r="R724" s="16">
        <v>157.63040000000001</v>
      </c>
    </row>
    <row r="725" spans="1:18" x14ac:dyDescent="0.25">
      <c r="A725" s="13">
        <v>52</v>
      </c>
      <c r="B725" s="13" t="s">
        <v>590</v>
      </c>
      <c r="C725" s="13" t="s">
        <v>598</v>
      </c>
      <c r="D725" s="13" t="s">
        <v>653</v>
      </c>
      <c r="E725" s="13" t="s">
        <v>514</v>
      </c>
      <c r="F725" s="13"/>
      <c r="G725" s="13"/>
      <c r="H725" s="13">
        <v>24</v>
      </c>
      <c r="I725" s="66">
        <f t="shared" si="74"/>
        <v>24</v>
      </c>
      <c r="J725" s="15">
        <f t="shared" si="75"/>
        <v>1973.532608</v>
      </c>
      <c r="K725" s="15">
        <f t="shared" si="76"/>
        <v>47364.782592000003</v>
      </c>
      <c r="L725" s="13">
        <v>52074</v>
      </c>
      <c r="M725" s="23">
        <v>46397</v>
      </c>
      <c r="N725" s="109"/>
      <c r="O725" s="13">
        <v>11.17</v>
      </c>
      <c r="P725" s="13">
        <v>12.52</v>
      </c>
      <c r="Q725" s="13">
        <v>2.97</v>
      </c>
      <c r="R725" s="16">
        <v>157.63040000000001</v>
      </c>
    </row>
    <row r="726" spans="1:18" x14ac:dyDescent="0.25">
      <c r="A726" s="13">
        <v>53</v>
      </c>
      <c r="B726" s="13" t="s">
        <v>590</v>
      </c>
      <c r="C726" s="13" t="s">
        <v>591</v>
      </c>
      <c r="D726" s="13" t="s">
        <v>592</v>
      </c>
      <c r="E726" s="13" t="s">
        <v>514</v>
      </c>
      <c r="F726" s="13"/>
      <c r="G726" s="13"/>
      <c r="H726" s="13">
        <v>31</v>
      </c>
      <c r="I726" s="66">
        <f t="shared" si="74"/>
        <v>31</v>
      </c>
      <c r="J726" s="15">
        <f t="shared" si="75"/>
        <v>1973.532608</v>
      </c>
      <c r="K726" s="15">
        <f t="shared" si="76"/>
        <v>61179.510847999998</v>
      </c>
      <c r="L726" s="13">
        <v>52074</v>
      </c>
      <c r="M726" s="13" t="s">
        <v>654</v>
      </c>
      <c r="N726" s="109" t="s">
        <v>696</v>
      </c>
      <c r="O726" s="13">
        <v>11.17</v>
      </c>
      <c r="P726" s="13">
        <v>12.52</v>
      </c>
      <c r="Q726" s="13">
        <v>2.97</v>
      </c>
      <c r="R726" s="16">
        <v>157.63040000000001</v>
      </c>
    </row>
    <row r="727" spans="1:18" x14ac:dyDescent="0.25">
      <c r="A727" s="13">
        <v>54</v>
      </c>
      <c r="B727" s="13" t="s">
        <v>655</v>
      </c>
      <c r="C727" s="13" t="s">
        <v>598</v>
      </c>
      <c r="D727" s="13" t="s">
        <v>653</v>
      </c>
      <c r="E727" s="13" t="s">
        <v>475</v>
      </c>
      <c r="F727" s="13"/>
      <c r="G727" s="13"/>
      <c r="H727" s="13">
        <v>5</v>
      </c>
      <c r="I727" s="66">
        <f t="shared" si="74"/>
        <v>5</v>
      </c>
      <c r="J727" s="15">
        <f t="shared" si="75"/>
        <v>11836.466736</v>
      </c>
      <c r="K727" s="15">
        <f t="shared" si="76"/>
        <v>59182.333680000003</v>
      </c>
      <c r="L727" s="13">
        <v>52074</v>
      </c>
      <c r="M727" s="23">
        <v>46397</v>
      </c>
      <c r="N727" s="109"/>
      <c r="O727" s="13">
        <v>67.05</v>
      </c>
      <c r="P727" s="13">
        <v>75.09</v>
      </c>
      <c r="Q727" s="13">
        <v>19.34</v>
      </c>
      <c r="R727" s="16">
        <v>157.63040000000001</v>
      </c>
    </row>
    <row r="728" spans="1:18" x14ac:dyDescent="0.25">
      <c r="A728" s="13">
        <v>55</v>
      </c>
      <c r="B728" s="13" t="s">
        <v>584</v>
      </c>
      <c r="C728" s="13" t="s">
        <v>574</v>
      </c>
      <c r="D728" s="13" t="s">
        <v>566</v>
      </c>
      <c r="E728" s="13" t="s">
        <v>475</v>
      </c>
      <c r="F728" s="13"/>
      <c r="G728" s="13"/>
      <c r="H728" s="13">
        <v>39</v>
      </c>
      <c r="I728" s="66">
        <f t="shared" si="74"/>
        <v>39</v>
      </c>
      <c r="J728" s="15">
        <f t="shared" si="75"/>
        <v>3748.4509120000002</v>
      </c>
      <c r="K728" s="15">
        <f t="shared" si="76"/>
        <v>146189.58556800001</v>
      </c>
      <c r="L728" s="13">
        <v>52074</v>
      </c>
      <c r="M728" s="13" t="s">
        <v>656</v>
      </c>
      <c r="N728" s="109"/>
      <c r="O728" s="13">
        <v>21.24</v>
      </c>
      <c r="P728" s="13">
        <v>23.78</v>
      </c>
      <c r="Q728" s="13">
        <v>8.3800000000000008</v>
      </c>
      <c r="R728" s="16">
        <v>157.63040000000001</v>
      </c>
    </row>
    <row r="729" spans="1:18" x14ac:dyDescent="0.25">
      <c r="A729" s="13">
        <v>56</v>
      </c>
      <c r="B729" s="13" t="s">
        <v>657</v>
      </c>
      <c r="C729" s="13" t="s">
        <v>574</v>
      </c>
      <c r="D729" s="13" t="s">
        <v>566</v>
      </c>
      <c r="E729" s="13" t="s">
        <v>238</v>
      </c>
      <c r="F729" s="13"/>
      <c r="G729" s="13"/>
      <c r="H729" s="13">
        <v>158</v>
      </c>
      <c r="I729" s="66">
        <f t="shared" si="74"/>
        <v>158</v>
      </c>
      <c r="J729" s="15">
        <f t="shared" si="75"/>
        <v>624.21638400000006</v>
      </c>
      <c r="K729" s="15">
        <f t="shared" si="76"/>
        <v>98626.188672000004</v>
      </c>
      <c r="L729" s="13">
        <v>52074</v>
      </c>
      <c r="M729" s="13" t="s">
        <v>656</v>
      </c>
      <c r="N729" s="109"/>
      <c r="O729" s="13">
        <v>3.54</v>
      </c>
      <c r="P729" s="13">
        <v>3.96</v>
      </c>
      <c r="Q729" s="13">
        <v>1.39</v>
      </c>
      <c r="R729" s="16">
        <v>157.63040000000001</v>
      </c>
    </row>
    <row r="730" spans="1:18" x14ac:dyDescent="0.25">
      <c r="A730" s="13">
        <v>57</v>
      </c>
      <c r="B730" s="13" t="s">
        <v>586</v>
      </c>
      <c r="C730" s="13" t="s">
        <v>505</v>
      </c>
      <c r="D730" s="13" t="s">
        <v>566</v>
      </c>
      <c r="E730" s="13" t="s">
        <v>238</v>
      </c>
      <c r="F730" s="13"/>
      <c r="G730" s="13"/>
      <c r="H730" s="13">
        <v>6</v>
      </c>
      <c r="I730" s="66">
        <f t="shared" si="74"/>
        <v>6</v>
      </c>
      <c r="J730" s="15">
        <f t="shared" si="75"/>
        <v>624.21638400000006</v>
      </c>
      <c r="K730" s="15">
        <f t="shared" si="76"/>
        <v>3745.2983040000004</v>
      </c>
      <c r="L730" s="13">
        <v>52074</v>
      </c>
      <c r="M730" s="13" t="s">
        <v>658</v>
      </c>
      <c r="N730" s="109"/>
      <c r="O730" s="13">
        <v>3.54</v>
      </c>
      <c r="P730" s="13">
        <v>3.96</v>
      </c>
      <c r="Q730" s="13">
        <v>1.39</v>
      </c>
      <c r="R730" s="16">
        <v>157.63040000000001</v>
      </c>
    </row>
    <row r="731" spans="1:18" x14ac:dyDescent="0.25">
      <c r="A731" s="13">
        <v>58</v>
      </c>
      <c r="B731" s="13" t="s">
        <v>579</v>
      </c>
      <c r="C731" s="13" t="s">
        <v>577</v>
      </c>
      <c r="D731" s="13" t="s">
        <v>490</v>
      </c>
      <c r="E731" s="13" t="s">
        <v>563</v>
      </c>
      <c r="F731" s="13"/>
      <c r="G731" s="13"/>
      <c r="H731" s="13">
        <v>84</v>
      </c>
      <c r="I731" s="66">
        <f t="shared" si="74"/>
        <v>84</v>
      </c>
      <c r="J731" s="15">
        <f t="shared" si="75"/>
        <v>2197.367776</v>
      </c>
      <c r="K731" s="15">
        <f t="shared" si="76"/>
        <v>184578.89318400002</v>
      </c>
      <c r="L731" s="13">
        <v>52074</v>
      </c>
      <c r="M731" s="23">
        <v>46398</v>
      </c>
      <c r="N731" s="109"/>
      <c r="O731" s="13">
        <v>12.45</v>
      </c>
      <c r="P731" s="13">
        <v>13.94</v>
      </c>
      <c r="Q731" s="13">
        <v>6.76</v>
      </c>
      <c r="R731" s="16">
        <v>157.63040000000001</v>
      </c>
    </row>
    <row r="732" spans="1:18" x14ac:dyDescent="0.25">
      <c r="A732" s="13">
        <v>59</v>
      </c>
      <c r="B732" s="13" t="s">
        <v>576</v>
      </c>
      <c r="C732" s="13" t="s">
        <v>577</v>
      </c>
      <c r="D732" s="13" t="s">
        <v>490</v>
      </c>
      <c r="E732" s="13" t="s">
        <v>563</v>
      </c>
      <c r="F732" s="13"/>
      <c r="G732" s="13"/>
      <c r="H732" s="13">
        <v>22</v>
      </c>
      <c r="I732" s="66">
        <f t="shared" si="74"/>
        <v>22</v>
      </c>
      <c r="J732" s="15">
        <f t="shared" si="75"/>
        <v>2197.367776</v>
      </c>
      <c r="K732" s="15">
        <f t="shared" si="76"/>
        <v>48342.091072000003</v>
      </c>
      <c r="L732" s="13">
        <v>52074</v>
      </c>
      <c r="M732" s="23">
        <v>47127</v>
      </c>
      <c r="N732" s="109"/>
      <c r="O732" s="13">
        <v>12.45</v>
      </c>
      <c r="P732" s="13">
        <v>13.94</v>
      </c>
      <c r="Q732" s="13">
        <v>6.76</v>
      </c>
      <c r="R732" s="16">
        <v>157.63040000000001</v>
      </c>
    </row>
    <row r="733" spans="1:18" x14ac:dyDescent="0.25">
      <c r="A733" s="13">
        <v>60</v>
      </c>
      <c r="B733" s="13" t="s">
        <v>579</v>
      </c>
      <c r="C733" s="13" t="s">
        <v>580</v>
      </c>
      <c r="D733" s="40" t="s">
        <v>490</v>
      </c>
      <c r="E733" s="13" t="s">
        <v>563</v>
      </c>
      <c r="F733" s="13"/>
      <c r="G733" s="13"/>
      <c r="H733" s="13">
        <v>1</v>
      </c>
      <c r="I733" s="66">
        <f t="shared" si="74"/>
        <v>1</v>
      </c>
      <c r="J733" s="15">
        <f t="shared" si="75"/>
        <v>2197.367776</v>
      </c>
      <c r="K733" s="15">
        <f t="shared" si="76"/>
        <v>2197.367776</v>
      </c>
      <c r="L733" s="13">
        <v>52074</v>
      </c>
      <c r="M733" s="23">
        <v>46398</v>
      </c>
      <c r="N733" s="109"/>
      <c r="O733" s="13">
        <v>12.45</v>
      </c>
      <c r="P733" s="13">
        <v>13.94</v>
      </c>
      <c r="Q733" s="13">
        <v>6.76</v>
      </c>
      <c r="R733" s="16">
        <v>157.63040000000001</v>
      </c>
    </row>
    <row r="734" spans="1:18" x14ac:dyDescent="0.25">
      <c r="A734" s="13">
        <v>61</v>
      </c>
      <c r="B734" s="14" t="s">
        <v>659</v>
      </c>
      <c r="C734" s="13" t="s">
        <v>518</v>
      </c>
      <c r="D734" s="40" t="s">
        <v>34</v>
      </c>
      <c r="E734" s="13" t="s">
        <v>202</v>
      </c>
      <c r="F734" s="13"/>
      <c r="G734" s="13"/>
      <c r="H734" s="13">
        <v>30</v>
      </c>
      <c r="I734" s="66">
        <f t="shared" si="74"/>
        <v>30</v>
      </c>
      <c r="J734" s="15">
        <f t="shared" si="75"/>
        <v>176.54604800000001</v>
      </c>
      <c r="K734" s="15">
        <f t="shared" si="76"/>
        <v>5296.3814400000001</v>
      </c>
      <c r="L734" s="13">
        <v>52074</v>
      </c>
      <c r="M734" s="23">
        <v>46398</v>
      </c>
      <c r="N734" s="109"/>
      <c r="O734" s="13">
        <v>1</v>
      </c>
      <c r="P734" s="13">
        <v>1.1200000000000001</v>
      </c>
      <c r="Q734" s="13">
        <v>1.01</v>
      </c>
      <c r="R734" s="16">
        <v>157.63040000000001</v>
      </c>
    </row>
    <row r="735" spans="1:18" x14ac:dyDescent="0.25">
      <c r="A735" s="13">
        <v>62</v>
      </c>
      <c r="B735" s="14" t="s">
        <v>660</v>
      </c>
      <c r="C735" s="13" t="s">
        <v>661</v>
      </c>
      <c r="D735" s="40" t="s">
        <v>34</v>
      </c>
      <c r="E735" s="13" t="s">
        <v>202</v>
      </c>
      <c r="F735" s="13"/>
      <c r="G735" s="13"/>
      <c r="H735" s="13">
        <v>380</v>
      </c>
      <c r="I735" s="66">
        <f t="shared" si="74"/>
        <v>380</v>
      </c>
      <c r="J735" s="15">
        <f t="shared" si="75"/>
        <v>176.54604800000001</v>
      </c>
      <c r="K735" s="15">
        <f t="shared" si="76"/>
        <v>67087.498240000001</v>
      </c>
      <c r="L735" s="13">
        <v>52074</v>
      </c>
      <c r="M735" s="23">
        <v>46033</v>
      </c>
      <c r="N735" s="109"/>
      <c r="O735" s="13">
        <v>1</v>
      </c>
      <c r="P735" s="13">
        <v>1.1200000000000001</v>
      </c>
      <c r="Q735" s="13">
        <v>1.01</v>
      </c>
      <c r="R735" s="16">
        <v>157.63040000000001</v>
      </c>
    </row>
    <row r="736" spans="1:18" x14ac:dyDescent="0.25">
      <c r="A736" s="13">
        <v>63</v>
      </c>
      <c r="B736" s="13" t="s">
        <v>662</v>
      </c>
      <c r="C736" s="13" t="s">
        <v>505</v>
      </c>
      <c r="D736" s="40" t="s">
        <v>499</v>
      </c>
      <c r="E736" s="13" t="s">
        <v>563</v>
      </c>
      <c r="F736" s="13"/>
      <c r="G736" s="13"/>
      <c r="H736" s="13">
        <v>7</v>
      </c>
      <c r="I736" s="66">
        <f t="shared" si="74"/>
        <v>7</v>
      </c>
      <c r="J736" s="15">
        <f t="shared" si="75"/>
        <v>2436.9659840000004</v>
      </c>
      <c r="K736" s="15">
        <f t="shared" si="76"/>
        <v>17058.761888000001</v>
      </c>
      <c r="L736" s="13">
        <v>52074</v>
      </c>
      <c r="M736" s="23">
        <v>46759</v>
      </c>
      <c r="N736" s="109"/>
      <c r="O736" s="13">
        <v>13.8</v>
      </c>
      <c r="P736" s="13">
        <v>15.46</v>
      </c>
      <c r="Q736" s="13">
        <v>7.49</v>
      </c>
      <c r="R736" s="16">
        <v>157.63040000000001</v>
      </c>
    </row>
    <row r="737" spans="1:18" x14ac:dyDescent="0.25">
      <c r="A737" s="13">
        <v>64</v>
      </c>
      <c r="B737" s="13" t="s">
        <v>662</v>
      </c>
      <c r="C737" s="13" t="s">
        <v>663</v>
      </c>
      <c r="D737" s="40" t="s">
        <v>34</v>
      </c>
      <c r="E737" s="13" t="s">
        <v>563</v>
      </c>
      <c r="F737" s="13"/>
      <c r="G737" s="13"/>
      <c r="H737" s="13">
        <v>11</v>
      </c>
      <c r="I737" s="66">
        <f t="shared" si="74"/>
        <v>11</v>
      </c>
      <c r="J737" s="15">
        <f t="shared" si="75"/>
        <v>2436.9659840000004</v>
      </c>
      <c r="K737" s="15">
        <f t="shared" si="76"/>
        <v>26806.625824000002</v>
      </c>
      <c r="L737" s="13">
        <v>52075</v>
      </c>
      <c r="M737" s="23">
        <v>46394</v>
      </c>
      <c r="N737" s="109"/>
      <c r="O737" s="13">
        <v>13.8</v>
      </c>
      <c r="P737" s="13">
        <v>15.46</v>
      </c>
      <c r="Q737" s="13">
        <v>7.49</v>
      </c>
      <c r="R737" s="16">
        <v>157.63040000000001</v>
      </c>
    </row>
    <row r="738" spans="1:18" x14ac:dyDescent="0.25">
      <c r="A738" s="13">
        <v>65</v>
      </c>
      <c r="B738" s="13" t="s">
        <v>662</v>
      </c>
      <c r="C738" s="13" t="s">
        <v>664</v>
      </c>
      <c r="D738" s="40" t="s">
        <v>499</v>
      </c>
      <c r="E738" s="13" t="s">
        <v>563</v>
      </c>
      <c r="F738" s="13"/>
      <c r="G738" s="13"/>
      <c r="H738" s="13">
        <v>2</v>
      </c>
      <c r="I738" s="66">
        <f t="shared" si="74"/>
        <v>2</v>
      </c>
      <c r="J738" s="15">
        <f t="shared" si="75"/>
        <v>2436.9659840000004</v>
      </c>
      <c r="K738" s="15">
        <f t="shared" si="76"/>
        <v>4873.9319680000008</v>
      </c>
      <c r="L738" s="13">
        <v>52075</v>
      </c>
      <c r="M738" s="23">
        <v>46396</v>
      </c>
      <c r="N738" s="109"/>
      <c r="O738" s="13">
        <v>13.8</v>
      </c>
      <c r="P738" s="13">
        <v>15.46</v>
      </c>
      <c r="Q738" s="13">
        <v>7.49</v>
      </c>
      <c r="R738" s="16">
        <v>157.63040000000001</v>
      </c>
    </row>
    <row r="739" spans="1:18" x14ac:dyDescent="0.25">
      <c r="A739" s="13">
        <v>66</v>
      </c>
      <c r="B739" s="13" t="s">
        <v>665</v>
      </c>
      <c r="C739" s="13" t="s">
        <v>666</v>
      </c>
      <c r="D739" s="40" t="s">
        <v>34</v>
      </c>
      <c r="E739" s="13" t="s">
        <v>563</v>
      </c>
      <c r="F739" s="13"/>
      <c r="G739" s="13"/>
      <c r="H739" s="13">
        <v>1</v>
      </c>
      <c r="I739" s="66">
        <f t="shared" ref="I739:I741" si="77">SUM(F739:H739)</f>
        <v>1</v>
      </c>
      <c r="J739" s="15">
        <f t="shared" ref="J739:J741" si="78">P739*R739</f>
        <v>2436.9659840000004</v>
      </c>
      <c r="K739" s="15">
        <f t="shared" ref="K739:K741" si="79">J739*I739</f>
        <v>2436.9659840000004</v>
      </c>
      <c r="L739" s="13">
        <v>52075</v>
      </c>
      <c r="M739" s="23">
        <v>46396</v>
      </c>
      <c r="N739" s="109"/>
      <c r="O739" s="13">
        <v>13.8</v>
      </c>
      <c r="P739" s="13">
        <v>15.46</v>
      </c>
      <c r="Q739" s="13">
        <v>7.49</v>
      </c>
      <c r="R739" s="16">
        <v>157.63040000000001</v>
      </c>
    </row>
    <row r="740" spans="1:18" x14ac:dyDescent="0.25">
      <c r="A740" s="41">
        <v>67</v>
      </c>
      <c r="B740" s="41" t="s">
        <v>667</v>
      </c>
      <c r="C740" s="41" t="s">
        <v>343</v>
      </c>
      <c r="D740" s="42" t="s">
        <v>34</v>
      </c>
      <c r="E740" s="41" t="s">
        <v>563</v>
      </c>
      <c r="F740" s="13"/>
      <c r="G740" s="13"/>
      <c r="H740" s="13">
        <v>83</v>
      </c>
      <c r="I740" s="66">
        <f t="shared" si="77"/>
        <v>83</v>
      </c>
      <c r="J740" s="15">
        <f t="shared" si="78"/>
        <v>4872.3556640000006</v>
      </c>
      <c r="K740" s="15">
        <f t="shared" si="79"/>
        <v>404405.52011200006</v>
      </c>
      <c r="L740" s="13">
        <v>52075</v>
      </c>
      <c r="M740" s="43">
        <v>46394</v>
      </c>
      <c r="N740" s="109"/>
      <c r="O740" s="13">
        <v>27.6</v>
      </c>
      <c r="P740" s="13">
        <v>30.91</v>
      </c>
      <c r="Q740" s="13">
        <v>14.98</v>
      </c>
      <c r="R740" s="16">
        <v>157.63040000000001</v>
      </c>
    </row>
    <row r="741" spans="1:18" x14ac:dyDescent="0.25">
      <c r="A741" s="13">
        <v>68</v>
      </c>
      <c r="B741" s="13" t="s">
        <v>667</v>
      </c>
      <c r="C741" s="13" t="s">
        <v>668</v>
      </c>
      <c r="D741" s="40" t="s">
        <v>34</v>
      </c>
      <c r="E741" s="13" t="s">
        <v>563</v>
      </c>
      <c r="F741" s="13"/>
      <c r="G741" s="13"/>
      <c r="H741" s="13">
        <v>8</v>
      </c>
      <c r="I741" s="66">
        <f t="shared" si="77"/>
        <v>8</v>
      </c>
      <c r="J741" s="15">
        <f t="shared" si="78"/>
        <v>4872.3556640000006</v>
      </c>
      <c r="K741" s="15">
        <f t="shared" si="79"/>
        <v>38978.845312000005</v>
      </c>
      <c r="L741" s="13">
        <v>52075</v>
      </c>
      <c r="M741" s="23">
        <v>46398</v>
      </c>
      <c r="N741" s="109"/>
      <c r="O741" s="13">
        <v>27.6</v>
      </c>
      <c r="P741" s="13">
        <v>30.91</v>
      </c>
      <c r="Q741" s="13">
        <v>14.98</v>
      </c>
      <c r="R741" s="16">
        <v>157.63040000000001</v>
      </c>
    </row>
    <row r="742" spans="1:18" x14ac:dyDescent="0.25">
      <c r="A742" s="123" t="s">
        <v>5</v>
      </c>
      <c r="B742" s="123"/>
      <c r="C742" s="123"/>
      <c r="D742" s="123"/>
      <c r="E742" s="123"/>
      <c r="F742" s="123"/>
      <c r="G742" s="123"/>
      <c r="H742" s="123"/>
      <c r="I742" s="123"/>
      <c r="J742" s="123"/>
      <c r="K742" s="60">
        <f>SUM(K674:K741)</f>
        <v>3593817.0659039998</v>
      </c>
      <c r="L742" s="13"/>
      <c r="M742" s="13"/>
      <c r="N742" s="109"/>
      <c r="O742" s="13"/>
      <c r="P742" s="13"/>
      <c r="Q742" s="13"/>
      <c r="R742" s="13"/>
    </row>
    <row r="743" spans="1:18" x14ac:dyDescent="0.25">
      <c r="A743" s="123" t="s">
        <v>669</v>
      </c>
      <c r="B743" s="123"/>
      <c r="C743" s="123"/>
      <c r="D743" s="123"/>
      <c r="E743" s="123"/>
      <c r="F743" s="123"/>
      <c r="G743" s="123"/>
      <c r="H743" s="123"/>
      <c r="I743" s="123"/>
      <c r="J743" s="123"/>
      <c r="K743" s="15"/>
      <c r="L743" s="13"/>
      <c r="M743" s="13"/>
      <c r="N743" s="110"/>
      <c r="O743" s="13"/>
      <c r="P743" s="13"/>
      <c r="Q743" s="13"/>
      <c r="R743" s="13"/>
    </row>
    <row r="748" spans="1:18" x14ac:dyDescent="0.25">
      <c r="A748" s="128" t="s">
        <v>670</v>
      </c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30"/>
      <c r="Q748" s="111" t="s">
        <v>2</v>
      </c>
    </row>
    <row r="749" spans="1:18" x14ac:dyDescent="0.25">
      <c r="A749" s="112" t="s">
        <v>402</v>
      </c>
      <c r="B749" s="112"/>
      <c r="C749" s="112"/>
      <c r="D749" s="112"/>
      <c r="E749" s="112"/>
      <c r="F749" s="112"/>
      <c r="G749" s="112"/>
      <c r="H749" s="112"/>
      <c r="I749" s="112"/>
      <c r="J749" s="82" t="s">
        <v>5</v>
      </c>
      <c r="K749" s="113" t="s">
        <v>6</v>
      </c>
      <c r="L749" s="114" t="s">
        <v>1</v>
      </c>
      <c r="M749" s="115" t="s">
        <v>7</v>
      </c>
      <c r="N749" s="83"/>
      <c r="O749" s="83"/>
      <c r="P749" s="84"/>
      <c r="Q749" s="111"/>
    </row>
    <row r="750" spans="1:18" x14ac:dyDescent="0.25">
      <c r="A750" s="85" t="s">
        <v>14</v>
      </c>
      <c r="B750" s="118" t="s">
        <v>15</v>
      </c>
      <c r="C750" s="118" t="s">
        <v>16</v>
      </c>
      <c r="D750" s="118" t="s">
        <v>17</v>
      </c>
      <c r="E750" s="119" t="s">
        <v>18</v>
      </c>
      <c r="F750" s="119" t="s">
        <v>9</v>
      </c>
      <c r="G750" s="119"/>
      <c r="H750" s="119"/>
      <c r="I750" s="86"/>
      <c r="J750" s="113" t="s">
        <v>206</v>
      </c>
      <c r="K750" s="113"/>
      <c r="L750" s="114"/>
      <c r="M750" s="116"/>
      <c r="N750" s="120" t="s">
        <v>11</v>
      </c>
      <c r="O750" s="122" t="s">
        <v>12</v>
      </c>
      <c r="P750" s="122" t="s">
        <v>13</v>
      </c>
      <c r="Q750" s="111"/>
    </row>
    <row r="751" spans="1:18" ht="30" x14ac:dyDescent="0.25">
      <c r="A751" s="85"/>
      <c r="B751" s="118"/>
      <c r="C751" s="118"/>
      <c r="D751" s="118"/>
      <c r="E751" s="119"/>
      <c r="F751" s="85" t="s">
        <v>19</v>
      </c>
      <c r="G751" s="87" t="s">
        <v>20</v>
      </c>
      <c r="H751" s="88" t="s">
        <v>21</v>
      </c>
      <c r="I751" s="87" t="s">
        <v>22</v>
      </c>
      <c r="J751" s="113"/>
      <c r="K751" s="113"/>
      <c r="L751" s="114"/>
      <c r="M751" s="117"/>
      <c r="N751" s="121"/>
      <c r="O751" s="122"/>
      <c r="P751" s="122"/>
      <c r="Q751" s="111"/>
    </row>
    <row r="752" spans="1:18" ht="30" x14ac:dyDescent="0.25">
      <c r="A752" s="89">
        <v>1</v>
      </c>
      <c r="B752" s="90" t="s">
        <v>671</v>
      </c>
      <c r="C752" s="79" t="s">
        <v>414</v>
      </c>
      <c r="D752" s="79" t="s">
        <v>672</v>
      </c>
      <c r="E752" s="91" t="s">
        <v>475</v>
      </c>
      <c r="F752" s="79"/>
      <c r="G752" s="79"/>
      <c r="H752" s="92">
        <v>1</v>
      </c>
      <c r="I752" s="79">
        <f>SUM(F752:H752)</f>
        <v>1</v>
      </c>
      <c r="J752" s="80">
        <f>P752*Q752</f>
        <v>64421.291375999994</v>
      </c>
      <c r="K752" s="80">
        <f>J752*I752</f>
        <v>64421.291375999994</v>
      </c>
      <c r="L752" s="93">
        <v>52019</v>
      </c>
      <c r="M752" s="124" t="s">
        <v>693</v>
      </c>
      <c r="N752" s="79">
        <v>493.2</v>
      </c>
      <c r="O752" s="79">
        <v>552.4</v>
      </c>
      <c r="P752" s="79">
        <v>407.52</v>
      </c>
      <c r="Q752" s="79">
        <v>158.0813</v>
      </c>
    </row>
    <row r="753" spans="1:17" ht="30" x14ac:dyDescent="0.25">
      <c r="A753" s="89">
        <v>2</v>
      </c>
      <c r="B753" s="90" t="s">
        <v>673</v>
      </c>
      <c r="C753" s="79" t="s">
        <v>414</v>
      </c>
      <c r="D753" s="79" t="s">
        <v>672</v>
      </c>
      <c r="E753" s="91" t="s">
        <v>475</v>
      </c>
      <c r="F753" s="79"/>
      <c r="G753" s="79"/>
      <c r="H753" s="92">
        <v>1</v>
      </c>
      <c r="I753" s="79">
        <f t="shared" ref="I753:I754" si="80">SUM(F753:H753)</f>
        <v>1</v>
      </c>
      <c r="J753" s="80">
        <v>77965.697159999996</v>
      </c>
      <c r="K753" s="80">
        <f t="shared" ref="K753:K754" si="81">J753*I753</f>
        <v>77965.697159999996</v>
      </c>
      <c r="L753" s="93">
        <v>52020</v>
      </c>
      <c r="M753" s="125"/>
      <c r="N753" s="79">
        <v>493.2</v>
      </c>
      <c r="O753" s="79">
        <v>552.4</v>
      </c>
      <c r="P753" s="79">
        <v>407.52</v>
      </c>
      <c r="Q753" s="79">
        <v>158.0813</v>
      </c>
    </row>
    <row r="754" spans="1:17" ht="30" x14ac:dyDescent="0.25">
      <c r="A754" s="89">
        <v>3</v>
      </c>
      <c r="B754" s="90" t="s">
        <v>674</v>
      </c>
      <c r="C754" s="79" t="s">
        <v>414</v>
      </c>
      <c r="D754" s="79" t="s">
        <v>672</v>
      </c>
      <c r="E754" s="91" t="s">
        <v>475</v>
      </c>
      <c r="F754" s="79"/>
      <c r="G754" s="79"/>
      <c r="H754" s="92">
        <v>1</v>
      </c>
      <c r="I754" s="79">
        <f t="shared" si="80"/>
        <v>1</v>
      </c>
      <c r="J754" s="80">
        <v>77965.697159999996</v>
      </c>
      <c r="K754" s="80">
        <f t="shared" si="81"/>
        <v>77965.697159999996</v>
      </c>
      <c r="L754" s="93">
        <v>52020</v>
      </c>
      <c r="M754" s="125"/>
      <c r="N754" s="79">
        <v>493.2</v>
      </c>
      <c r="O754" s="79">
        <v>552.4</v>
      </c>
      <c r="P754" s="79">
        <v>407.52</v>
      </c>
      <c r="Q754" s="79">
        <v>158.0813</v>
      </c>
    </row>
    <row r="755" spans="1:17" x14ac:dyDescent="0.25">
      <c r="A755" s="127" t="s">
        <v>5</v>
      </c>
      <c r="B755" s="127"/>
      <c r="C755" s="127"/>
      <c r="D755" s="127"/>
      <c r="E755" s="127"/>
      <c r="F755" s="127"/>
      <c r="G755" s="127"/>
      <c r="H755" s="127"/>
      <c r="I755" s="127"/>
      <c r="J755" s="79"/>
      <c r="K755" s="80">
        <f>SUM(K752:K754)</f>
        <v>220352.685696</v>
      </c>
      <c r="L755" s="79"/>
      <c r="M755" s="125"/>
      <c r="N755" s="79"/>
      <c r="O755" s="79"/>
      <c r="P755" s="79"/>
      <c r="Q755" s="79"/>
    </row>
    <row r="756" spans="1:17" x14ac:dyDescent="0.25">
      <c r="A756" s="127" t="s">
        <v>669</v>
      </c>
      <c r="B756" s="127"/>
      <c r="C756" s="127"/>
      <c r="D756" s="127"/>
      <c r="E756" s="127"/>
      <c r="F756" s="127"/>
      <c r="G756" s="127"/>
      <c r="H756" s="127"/>
      <c r="I756" s="127"/>
      <c r="J756" s="79"/>
      <c r="K756" s="79"/>
      <c r="L756" s="79" t="s">
        <v>675</v>
      </c>
      <c r="M756" s="126"/>
      <c r="N756" s="79"/>
      <c r="O756" s="79"/>
      <c r="P756" s="79"/>
      <c r="Q756" s="79"/>
    </row>
  </sheetData>
  <mergeCells count="356">
    <mergeCell ref="P4:P5"/>
    <mergeCell ref="L130:L133"/>
    <mergeCell ref="Q130:Q133"/>
    <mergeCell ref="A2:K2"/>
    <mergeCell ref="L2:L5"/>
    <mergeCell ref="Q2:Q5"/>
    <mergeCell ref="R130:R133"/>
    <mergeCell ref="A131:I131"/>
    <mergeCell ref="K131:K133"/>
    <mergeCell ref="M131:M133"/>
    <mergeCell ref="B132:E132"/>
    <mergeCell ref="F132:H132"/>
    <mergeCell ref="J132:J133"/>
    <mergeCell ref="N132:N133"/>
    <mergeCell ref="O132:O133"/>
    <mergeCell ref="P132:P133"/>
    <mergeCell ref="R2:R5"/>
    <mergeCell ref="A3:I3"/>
    <mergeCell ref="K3:K5"/>
    <mergeCell ref="M3:M5"/>
    <mergeCell ref="B4:E4"/>
    <mergeCell ref="F4:H4"/>
    <mergeCell ref="J4:J5"/>
    <mergeCell ref="N4:N5"/>
    <mergeCell ref="O4:O5"/>
    <mergeCell ref="O169:O170"/>
    <mergeCell ref="P169:P170"/>
    <mergeCell ref="A192:K192"/>
    <mergeCell ref="L192:L195"/>
    <mergeCell ref="R192:R195"/>
    <mergeCell ref="Q194:Q195"/>
    <mergeCell ref="A167:K167"/>
    <mergeCell ref="L167:L170"/>
    <mergeCell ref="Q167:Q170"/>
    <mergeCell ref="R167:R170"/>
    <mergeCell ref="A168:I168"/>
    <mergeCell ref="K168:K170"/>
    <mergeCell ref="M168:M170"/>
    <mergeCell ref="B169:E169"/>
    <mergeCell ref="F169:H169"/>
    <mergeCell ref="J169:J170"/>
    <mergeCell ref="R228:R231"/>
    <mergeCell ref="A229:I229"/>
    <mergeCell ref="K229:K231"/>
    <mergeCell ref="M229:M231"/>
    <mergeCell ref="N229:N231"/>
    <mergeCell ref="B230:E230"/>
    <mergeCell ref="F230:H230"/>
    <mergeCell ref="J230:J231"/>
    <mergeCell ref="S192:S195"/>
    <mergeCell ref="A193:I193"/>
    <mergeCell ref="K193:K195"/>
    <mergeCell ref="M193:M195"/>
    <mergeCell ref="N193:N195"/>
    <mergeCell ref="B194:E194"/>
    <mergeCell ref="F194:H194"/>
    <mergeCell ref="J194:J195"/>
    <mergeCell ref="O194:O195"/>
    <mergeCell ref="P194:P195"/>
    <mergeCell ref="Q230:Q231"/>
    <mergeCell ref="L242:L245"/>
    <mergeCell ref="Q242:Q245"/>
    <mergeCell ref="A243:I243"/>
    <mergeCell ref="K243:K245"/>
    <mergeCell ref="M243:M245"/>
    <mergeCell ref="B244:E244"/>
    <mergeCell ref="A228:K228"/>
    <mergeCell ref="L228:L231"/>
    <mergeCell ref="F244:H244"/>
    <mergeCell ref="J244:J245"/>
    <mergeCell ref="N244:N245"/>
    <mergeCell ref="O244:O245"/>
    <mergeCell ref="P244:P245"/>
    <mergeCell ref="L273:L276"/>
    <mergeCell ref="O230:O231"/>
    <mergeCell ref="P230:P231"/>
    <mergeCell ref="R288:R291"/>
    <mergeCell ref="A289:I289"/>
    <mergeCell ref="K289:K291"/>
    <mergeCell ref="M289:M291"/>
    <mergeCell ref="B290:E290"/>
    <mergeCell ref="F290:H290"/>
    <mergeCell ref="J290:J291"/>
    <mergeCell ref="Q273:Q276"/>
    <mergeCell ref="A274:I274"/>
    <mergeCell ref="K274:K276"/>
    <mergeCell ref="M274:M276"/>
    <mergeCell ref="B275:E275"/>
    <mergeCell ref="F275:H275"/>
    <mergeCell ref="J275:J276"/>
    <mergeCell ref="N275:N276"/>
    <mergeCell ref="O275:O276"/>
    <mergeCell ref="P275:P276"/>
    <mergeCell ref="N290:N291"/>
    <mergeCell ref="O290:O291"/>
    <mergeCell ref="P290:P291"/>
    <mergeCell ref="A242:K242"/>
    <mergeCell ref="L301:L304"/>
    <mergeCell ref="Q301:Q304"/>
    <mergeCell ref="A288:K288"/>
    <mergeCell ref="L288:L291"/>
    <mergeCell ref="Q288:Q291"/>
    <mergeCell ref="R301:R304"/>
    <mergeCell ref="A302:I302"/>
    <mergeCell ref="K302:K304"/>
    <mergeCell ref="M302:M304"/>
    <mergeCell ref="B303:E303"/>
    <mergeCell ref="F303:H303"/>
    <mergeCell ref="J303:J304"/>
    <mergeCell ref="N303:N304"/>
    <mergeCell ref="O303:O304"/>
    <mergeCell ref="P303:P304"/>
    <mergeCell ref="R491:R494"/>
    <mergeCell ref="A492:I492"/>
    <mergeCell ref="K492:K494"/>
    <mergeCell ref="M492:M494"/>
    <mergeCell ref="N492:N494"/>
    <mergeCell ref="A445:K445"/>
    <mergeCell ref="L445:L448"/>
    <mergeCell ref="Q445:Q448"/>
    <mergeCell ref="R445:R448"/>
    <mergeCell ref="A446:I446"/>
    <mergeCell ref="K446:K448"/>
    <mergeCell ref="M446:M448"/>
    <mergeCell ref="B447:E447"/>
    <mergeCell ref="F447:H447"/>
    <mergeCell ref="J447:J448"/>
    <mergeCell ref="B493:E493"/>
    <mergeCell ref="F493:H493"/>
    <mergeCell ref="J493:J494"/>
    <mergeCell ref="O493:O494"/>
    <mergeCell ref="P493:P494"/>
    <mergeCell ref="Q493:Q494"/>
    <mergeCell ref="N447:N448"/>
    <mergeCell ref="O447:O448"/>
    <mergeCell ref="P447:P448"/>
    <mergeCell ref="A491:K491"/>
    <mergeCell ref="L491:L494"/>
    <mergeCell ref="A519:K519"/>
    <mergeCell ref="L519:L522"/>
    <mergeCell ref="Q519:Q522"/>
    <mergeCell ref="A520:I520"/>
    <mergeCell ref="K520:K522"/>
    <mergeCell ref="M520:M522"/>
    <mergeCell ref="B521:E521"/>
    <mergeCell ref="F521:H521"/>
    <mergeCell ref="J521:J522"/>
    <mergeCell ref="N521:N522"/>
    <mergeCell ref="O521:O522"/>
    <mergeCell ref="P521:P522"/>
    <mergeCell ref="A517:J517"/>
    <mergeCell ref="L538:L541"/>
    <mergeCell ref="R538:R541"/>
    <mergeCell ref="A539:I539"/>
    <mergeCell ref="K539:K541"/>
    <mergeCell ref="M539:M541"/>
    <mergeCell ref="N539:N541"/>
    <mergeCell ref="B540:E540"/>
    <mergeCell ref="F540:H540"/>
    <mergeCell ref="J540:J541"/>
    <mergeCell ref="O540:O541"/>
    <mergeCell ref="P540:P541"/>
    <mergeCell ref="Q540:Q541"/>
    <mergeCell ref="Q553:Q556"/>
    <mergeCell ref="A554:I554"/>
    <mergeCell ref="K554:K556"/>
    <mergeCell ref="Q593:Q596"/>
    <mergeCell ref="A594:I594"/>
    <mergeCell ref="K594:K596"/>
    <mergeCell ref="L594:L596"/>
    <mergeCell ref="M594:M596"/>
    <mergeCell ref="B595:E595"/>
    <mergeCell ref="P555:P556"/>
    <mergeCell ref="A577:L577"/>
    <mergeCell ref="Q577:Q580"/>
    <mergeCell ref="A578:I578"/>
    <mergeCell ref="K578:K580"/>
    <mergeCell ref="L578:L580"/>
    <mergeCell ref="M578:M580"/>
    <mergeCell ref="B579:E579"/>
    <mergeCell ref="F579:H579"/>
    <mergeCell ref="J579:J580"/>
    <mergeCell ref="M554:M556"/>
    <mergeCell ref="B555:E555"/>
    <mergeCell ref="F555:H555"/>
    <mergeCell ref="O555:O556"/>
    <mergeCell ref="O609:O610"/>
    <mergeCell ref="F595:H595"/>
    <mergeCell ref="J595:J596"/>
    <mergeCell ref="N595:N596"/>
    <mergeCell ref="O595:O596"/>
    <mergeCell ref="P595:P596"/>
    <mergeCell ref="A607:L607"/>
    <mergeCell ref="N579:N580"/>
    <mergeCell ref="O579:O580"/>
    <mergeCell ref="P579:P580"/>
    <mergeCell ref="A593:L593"/>
    <mergeCell ref="A600:J600"/>
    <mergeCell ref="M581:M590"/>
    <mergeCell ref="L553:L556"/>
    <mergeCell ref="B620:E620"/>
    <mergeCell ref="F620:H620"/>
    <mergeCell ref="J620:J621"/>
    <mergeCell ref="Q607:Q610"/>
    <mergeCell ref="A608:I608"/>
    <mergeCell ref="K608:K610"/>
    <mergeCell ref="L608:L610"/>
    <mergeCell ref="M608:M610"/>
    <mergeCell ref="B609:E609"/>
    <mergeCell ref="F609:H609"/>
    <mergeCell ref="J609:J610"/>
    <mergeCell ref="N609:N610"/>
    <mergeCell ref="S650:S653"/>
    <mergeCell ref="A651:I651"/>
    <mergeCell ref="K651:K653"/>
    <mergeCell ref="L651:L653"/>
    <mergeCell ref="M651:M653"/>
    <mergeCell ref="N651:N653"/>
    <mergeCell ref="B652:E652"/>
    <mergeCell ref="F652:H652"/>
    <mergeCell ref="Q672:Q673"/>
    <mergeCell ref="N671:N673"/>
    <mergeCell ref="B672:E672"/>
    <mergeCell ref="F672:H672"/>
    <mergeCell ref="J672:J673"/>
    <mergeCell ref="O672:O673"/>
    <mergeCell ref="P672:P673"/>
    <mergeCell ref="J652:J653"/>
    <mergeCell ref="O652:O653"/>
    <mergeCell ref="A487:J487"/>
    <mergeCell ref="A488:J488"/>
    <mergeCell ref="A516:J516"/>
    <mergeCell ref="R670:R673"/>
    <mergeCell ref="A671:I671"/>
    <mergeCell ref="K671:K673"/>
    <mergeCell ref="L671:L673"/>
    <mergeCell ref="M671:M673"/>
    <mergeCell ref="A650:L650"/>
    <mergeCell ref="R650:R653"/>
    <mergeCell ref="B632:E632"/>
    <mergeCell ref="F632:H632"/>
    <mergeCell ref="J632:J633"/>
    <mergeCell ref="O632:O633"/>
    <mergeCell ref="P632:P633"/>
    <mergeCell ref="Q632:Q633"/>
    <mergeCell ref="N620:N621"/>
    <mergeCell ref="O620:O621"/>
    <mergeCell ref="P620:P621"/>
    <mergeCell ref="A630:K630"/>
    <mergeCell ref="L630:L633"/>
    <mergeCell ref="R630:R633"/>
    <mergeCell ref="A631:I631"/>
    <mergeCell ref="K631:K633"/>
    <mergeCell ref="A238:J238"/>
    <mergeCell ref="A268:J268"/>
    <mergeCell ref="A269:J269"/>
    <mergeCell ref="A283:J283"/>
    <mergeCell ref="A284:J284"/>
    <mergeCell ref="A296:J296"/>
    <mergeCell ref="A297:J297"/>
    <mergeCell ref="A441:J441"/>
    <mergeCell ref="A442:J442"/>
    <mergeCell ref="A301:K301"/>
    <mergeCell ref="A273:K273"/>
    <mergeCell ref="A123:J123"/>
    <mergeCell ref="A124:J124"/>
    <mergeCell ref="A161:J161"/>
    <mergeCell ref="A162:J162"/>
    <mergeCell ref="A186:J186"/>
    <mergeCell ref="A187:J187"/>
    <mergeCell ref="A224:J224"/>
    <mergeCell ref="A225:J225"/>
    <mergeCell ref="A237:J237"/>
    <mergeCell ref="A130:K130"/>
    <mergeCell ref="A533:J533"/>
    <mergeCell ref="A534:J534"/>
    <mergeCell ref="A549:J549"/>
    <mergeCell ref="A550:J550"/>
    <mergeCell ref="A573:J573"/>
    <mergeCell ref="A574:J574"/>
    <mergeCell ref="A589:J589"/>
    <mergeCell ref="A590:J590"/>
    <mergeCell ref="A599:J599"/>
    <mergeCell ref="J555:J556"/>
    <mergeCell ref="A553:K553"/>
    <mergeCell ref="A538:K538"/>
    <mergeCell ref="M752:M756"/>
    <mergeCell ref="F750:H750"/>
    <mergeCell ref="A755:I755"/>
    <mergeCell ref="A756:I756"/>
    <mergeCell ref="A748:P748"/>
    <mergeCell ref="N674:N699"/>
    <mergeCell ref="N700:N725"/>
    <mergeCell ref="N726:N743"/>
    <mergeCell ref="A615:J615"/>
    <mergeCell ref="A616:J616"/>
    <mergeCell ref="A625:J625"/>
    <mergeCell ref="A626:J626"/>
    <mergeCell ref="A646:J646"/>
    <mergeCell ref="A647:J647"/>
    <mergeCell ref="A666:J666"/>
    <mergeCell ref="A667:J667"/>
    <mergeCell ref="A742:J742"/>
    <mergeCell ref="P652:P653"/>
    <mergeCell ref="A670:L670"/>
    <mergeCell ref="M631:M633"/>
    <mergeCell ref="N631:N633"/>
    <mergeCell ref="A618:L618"/>
    <mergeCell ref="A619:I619"/>
    <mergeCell ref="K619:K621"/>
    <mergeCell ref="N654:N667"/>
    <mergeCell ref="N634:N647"/>
    <mergeCell ref="M622:M626"/>
    <mergeCell ref="M611:M616"/>
    <mergeCell ref="M597:M600"/>
    <mergeCell ref="Q748:Q751"/>
    <mergeCell ref="A749:I749"/>
    <mergeCell ref="K749:K751"/>
    <mergeCell ref="L749:L751"/>
    <mergeCell ref="M749:M751"/>
    <mergeCell ref="B750:B751"/>
    <mergeCell ref="C750:C751"/>
    <mergeCell ref="D750:D751"/>
    <mergeCell ref="E750:E751"/>
    <mergeCell ref="J750:J751"/>
    <mergeCell ref="N750:N751"/>
    <mergeCell ref="O750:O751"/>
    <mergeCell ref="P750:P751"/>
    <mergeCell ref="A743:J743"/>
    <mergeCell ref="Q652:Q653"/>
    <mergeCell ref="P609:P610"/>
    <mergeCell ref="Q618:Q621"/>
    <mergeCell ref="L619:L621"/>
    <mergeCell ref="M619:M621"/>
    <mergeCell ref="M305:M345"/>
    <mergeCell ref="M346:M386"/>
    <mergeCell ref="M387:M427"/>
    <mergeCell ref="M428:M442"/>
    <mergeCell ref="M557:M574"/>
    <mergeCell ref="N542:N550"/>
    <mergeCell ref="M523:M534"/>
    <mergeCell ref="M495:M517"/>
    <mergeCell ref="M449:M476"/>
    <mergeCell ref="M477:M488"/>
    <mergeCell ref="N555:N556"/>
    <mergeCell ref="M171:M187"/>
    <mergeCell ref="M134:M162"/>
    <mergeCell ref="M6:M46"/>
    <mergeCell ref="M47:M87"/>
    <mergeCell ref="M88:M124"/>
    <mergeCell ref="M292:M297"/>
    <mergeCell ref="M277:M284"/>
    <mergeCell ref="M246:M269"/>
    <mergeCell ref="N232:N238"/>
    <mergeCell ref="N196:N225"/>
    <mergeCell ref="N169:N170"/>
  </mergeCells>
  <pageMargins left="0.7" right="0.7" top="0.75" bottom="0.75" header="0.3" footer="0.3"/>
  <pageSetup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7"/>
  <sheetViews>
    <sheetView workbookViewId="0">
      <selection activeCell="R10" sqref="R10"/>
    </sheetView>
  </sheetViews>
  <sheetFormatPr defaultRowHeight="15" x14ac:dyDescent="0.25"/>
  <cols>
    <col min="1" max="1" width="4" bestFit="1" customWidth="1"/>
    <col min="2" max="2" width="28.140625" bestFit="1" customWidth="1"/>
    <col min="3" max="3" width="9.85546875" customWidth="1"/>
    <col min="10" max="10" width="13.7109375" bestFit="1" customWidth="1"/>
    <col min="11" max="11" width="10.5703125" bestFit="1" customWidth="1"/>
    <col min="18" max="18" width="19.140625" customWidth="1"/>
    <col min="19" max="19" width="11.42578125" customWidth="1"/>
  </cols>
  <sheetData>
    <row r="1" spans="1:18" x14ac:dyDescent="0.25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50"/>
      <c r="M1" s="1"/>
      <c r="N1" s="1"/>
      <c r="O1" s="1"/>
      <c r="P1" s="1"/>
      <c r="Q1" s="134" t="s">
        <v>2</v>
      </c>
      <c r="R1" s="139" t="s">
        <v>3</v>
      </c>
    </row>
    <row r="2" spans="1:18" x14ac:dyDescent="0.25">
      <c r="A2" s="135" t="s">
        <v>4</v>
      </c>
      <c r="B2" s="135"/>
      <c r="C2" s="135"/>
      <c r="D2" s="135"/>
      <c r="E2" s="135"/>
      <c r="F2" s="135"/>
      <c r="G2" s="135"/>
      <c r="H2" s="135"/>
      <c r="I2" s="135"/>
      <c r="J2" s="6" t="s">
        <v>5</v>
      </c>
      <c r="K2" s="152" t="s">
        <v>6</v>
      </c>
      <c r="L2" s="153" t="s">
        <v>1</v>
      </c>
      <c r="M2" s="131" t="s">
        <v>7</v>
      </c>
      <c r="N2" s="3"/>
      <c r="O2" s="3"/>
      <c r="P2" s="4"/>
      <c r="Q2" s="134"/>
      <c r="R2" s="140"/>
    </row>
    <row r="3" spans="1:18" x14ac:dyDescent="0.25">
      <c r="A3" s="5"/>
      <c r="B3" s="146" t="s">
        <v>8</v>
      </c>
      <c r="C3" s="147"/>
      <c r="D3" s="147"/>
      <c r="E3" s="148"/>
      <c r="F3" s="143" t="s">
        <v>9</v>
      </c>
      <c r="G3" s="143"/>
      <c r="H3" s="143"/>
      <c r="I3" s="7"/>
      <c r="J3" s="136" t="s">
        <v>10</v>
      </c>
      <c r="K3" s="152"/>
      <c r="L3" s="154"/>
      <c r="M3" s="131"/>
      <c r="N3" s="144" t="s">
        <v>11</v>
      </c>
      <c r="O3" s="131" t="s">
        <v>12</v>
      </c>
      <c r="P3" s="131" t="s">
        <v>13</v>
      </c>
      <c r="Q3" s="134"/>
      <c r="R3" s="140"/>
    </row>
    <row r="4" spans="1:18" ht="26.25" x14ac:dyDescent="0.25">
      <c r="A4" s="5" t="s">
        <v>14</v>
      </c>
      <c r="B4" s="8" t="s">
        <v>15</v>
      </c>
      <c r="C4" s="8" t="s">
        <v>16</v>
      </c>
      <c r="D4" s="8" t="s">
        <v>17</v>
      </c>
      <c r="E4" s="9" t="s">
        <v>18</v>
      </c>
      <c r="F4" s="10" t="s">
        <v>19</v>
      </c>
      <c r="G4" s="11" t="s">
        <v>20</v>
      </c>
      <c r="H4" s="12" t="s">
        <v>21</v>
      </c>
      <c r="I4" s="11" t="s">
        <v>22</v>
      </c>
      <c r="J4" s="136"/>
      <c r="K4" s="152"/>
      <c r="L4" s="155"/>
      <c r="M4" s="131"/>
      <c r="N4" s="144"/>
      <c r="O4" s="131"/>
      <c r="P4" s="131"/>
      <c r="Q4" s="134"/>
      <c r="R4" s="141"/>
    </row>
    <row r="5" spans="1:18" x14ac:dyDescent="0.25">
      <c r="A5" s="16">
        <v>1</v>
      </c>
      <c r="B5" s="45" t="s">
        <v>75</v>
      </c>
      <c r="C5" s="16" t="s">
        <v>36</v>
      </c>
      <c r="D5" s="16" t="s">
        <v>36</v>
      </c>
      <c r="E5" s="16" t="s">
        <v>26</v>
      </c>
      <c r="F5" s="16"/>
      <c r="G5" s="16"/>
      <c r="H5" s="16">
        <v>6</v>
      </c>
      <c r="I5" s="46">
        <v>6</v>
      </c>
      <c r="J5" s="46">
        <v>0</v>
      </c>
      <c r="K5" s="46">
        <v>0</v>
      </c>
      <c r="L5" s="16">
        <v>52008</v>
      </c>
      <c r="M5" s="16"/>
      <c r="N5" s="16"/>
      <c r="O5" s="16"/>
      <c r="P5" s="16"/>
      <c r="Q5" s="16">
        <v>157.63040000000001</v>
      </c>
      <c r="R5" s="16" t="s">
        <v>76</v>
      </c>
    </row>
    <row r="6" spans="1:18" x14ac:dyDescent="0.25">
      <c r="A6" s="16">
        <v>2</v>
      </c>
      <c r="B6" s="45" t="s">
        <v>79</v>
      </c>
      <c r="C6" s="16" t="s">
        <v>36</v>
      </c>
      <c r="D6" s="16" t="s">
        <v>36</v>
      </c>
      <c r="E6" s="16" t="s">
        <v>26</v>
      </c>
      <c r="F6" s="16"/>
      <c r="G6" s="16"/>
      <c r="H6" s="16">
        <v>12</v>
      </c>
      <c r="I6" s="46">
        <v>12</v>
      </c>
      <c r="J6" s="46">
        <v>0</v>
      </c>
      <c r="K6" s="46">
        <v>0</v>
      </c>
      <c r="L6" s="16">
        <v>52008</v>
      </c>
      <c r="M6" s="16"/>
      <c r="N6" s="16"/>
      <c r="O6" s="16"/>
      <c r="P6" s="16"/>
      <c r="Q6" s="16">
        <v>157.63040000000001</v>
      </c>
      <c r="R6" s="16" t="s">
        <v>76</v>
      </c>
    </row>
    <row r="12" spans="1:18" x14ac:dyDescent="0.25">
      <c r="A12" s="48" t="s">
        <v>0</v>
      </c>
      <c r="B12" s="49"/>
      <c r="C12" s="49"/>
      <c r="D12" s="49"/>
      <c r="E12" s="49"/>
      <c r="F12" s="49"/>
      <c r="G12" s="49"/>
      <c r="H12" s="49"/>
      <c r="I12" s="49"/>
      <c r="J12" s="49"/>
      <c r="K12" s="50"/>
      <c r="L12" s="47"/>
      <c r="M12" s="1"/>
      <c r="N12" s="1"/>
      <c r="O12" s="1"/>
      <c r="P12" s="1"/>
      <c r="Q12" s="134" t="s">
        <v>2</v>
      </c>
      <c r="R12" s="145" t="s">
        <v>3</v>
      </c>
    </row>
    <row r="13" spans="1:18" x14ac:dyDescent="0.25">
      <c r="A13" s="135" t="s">
        <v>139</v>
      </c>
      <c r="B13" s="135"/>
      <c r="C13" s="135"/>
      <c r="D13" s="135"/>
      <c r="E13" s="135"/>
      <c r="F13" s="135"/>
      <c r="G13" s="135"/>
      <c r="H13" s="135"/>
      <c r="I13" s="135"/>
      <c r="J13" s="6" t="s">
        <v>5</v>
      </c>
      <c r="K13" s="136" t="s">
        <v>6</v>
      </c>
      <c r="L13" s="153" t="s">
        <v>1</v>
      </c>
      <c r="M13" s="131" t="s">
        <v>7</v>
      </c>
      <c r="N13" s="3"/>
      <c r="O13" s="3"/>
      <c r="P13" s="4"/>
      <c r="Q13" s="134"/>
      <c r="R13" s="145"/>
    </row>
    <row r="14" spans="1:18" x14ac:dyDescent="0.25">
      <c r="A14" s="5"/>
      <c r="B14" s="146" t="s">
        <v>140</v>
      </c>
      <c r="C14" s="147"/>
      <c r="D14" s="147"/>
      <c r="E14" s="148"/>
      <c r="F14" s="143" t="s">
        <v>9</v>
      </c>
      <c r="G14" s="143"/>
      <c r="H14" s="143"/>
      <c r="I14" s="7"/>
      <c r="J14" s="136" t="s">
        <v>10</v>
      </c>
      <c r="K14" s="136"/>
      <c r="L14" s="154"/>
      <c r="M14" s="131"/>
      <c r="N14" s="144" t="s">
        <v>11</v>
      </c>
      <c r="O14" s="131" t="s">
        <v>12</v>
      </c>
      <c r="P14" s="131" t="s">
        <v>13</v>
      </c>
      <c r="Q14" s="134"/>
      <c r="R14" s="145"/>
    </row>
    <row r="15" spans="1:18" ht="26.25" x14ac:dyDescent="0.25">
      <c r="A15" s="5" t="s">
        <v>14</v>
      </c>
      <c r="B15" s="8" t="s">
        <v>15</v>
      </c>
      <c r="C15" s="8" t="s">
        <v>16</v>
      </c>
      <c r="D15" s="8" t="s">
        <v>17</v>
      </c>
      <c r="E15" s="9" t="s">
        <v>18</v>
      </c>
      <c r="F15" s="10" t="s">
        <v>19</v>
      </c>
      <c r="G15" s="11" t="s">
        <v>20</v>
      </c>
      <c r="H15" s="12" t="s">
        <v>21</v>
      </c>
      <c r="I15" s="11" t="s">
        <v>22</v>
      </c>
      <c r="J15" s="136"/>
      <c r="K15" s="136"/>
      <c r="L15" s="154"/>
      <c r="M15" s="131"/>
      <c r="N15" s="144"/>
      <c r="O15" s="131"/>
      <c r="P15" s="131"/>
      <c r="Q15" s="134"/>
      <c r="R15" s="145"/>
    </row>
    <row r="16" spans="1:18" ht="26.25" x14ac:dyDescent="0.25">
      <c r="A16" s="16">
        <v>18</v>
      </c>
      <c r="B16" s="51" t="s">
        <v>164</v>
      </c>
      <c r="C16" s="16" t="s">
        <v>36</v>
      </c>
      <c r="D16" s="16" t="s">
        <v>36</v>
      </c>
      <c r="E16" s="16" t="s">
        <v>26</v>
      </c>
      <c r="F16" s="16"/>
      <c r="G16" s="16"/>
      <c r="H16" s="16">
        <v>10</v>
      </c>
      <c r="I16" s="16">
        <f>SUM(F16:H16)</f>
        <v>10</v>
      </c>
      <c r="J16" s="46">
        <f>O16*Q16</f>
        <v>0</v>
      </c>
      <c r="K16" s="46">
        <f>J16*I16</f>
        <v>0</v>
      </c>
      <c r="L16" s="16">
        <v>101149</v>
      </c>
      <c r="M16" s="16"/>
      <c r="N16" s="16"/>
      <c r="O16" s="16"/>
      <c r="P16" s="16"/>
      <c r="Q16" s="16">
        <v>157.63040000000001</v>
      </c>
      <c r="R16" s="16" t="s">
        <v>76</v>
      </c>
    </row>
    <row r="22" spans="1:18" x14ac:dyDescent="0.25">
      <c r="A22" s="132" t="s">
        <v>0</v>
      </c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7" t="s">
        <v>1</v>
      </c>
      <c r="M22" s="1"/>
      <c r="N22" s="1"/>
      <c r="O22" s="1"/>
      <c r="P22" s="1"/>
      <c r="Q22" s="134" t="s">
        <v>2</v>
      </c>
      <c r="R22" s="139" t="s">
        <v>179</v>
      </c>
    </row>
    <row r="23" spans="1:18" x14ac:dyDescent="0.25">
      <c r="A23" s="135" t="s">
        <v>180</v>
      </c>
      <c r="B23" s="135"/>
      <c r="C23" s="135"/>
      <c r="D23" s="135"/>
      <c r="E23" s="135"/>
      <c r="F23" s="135"/>
      <c r="G23" s="135"/>
      <c r="H23" s="135"/>
      <c r="I23" s="135"/>
      <c r="J23" s="6" t="s">
        <v>5</v>
      </c>
      <c r="K23" s="136" t="s">
        <v>6</v>
      </c>
      <c r="L23" s="137"/>
      <c r="M23" s="131" t="s">
        <v>7</v>
      </c>
      <c r="N23" s="3"/>
      <c r="O23" s="3"/>
      <c r="P23" s="4"/>
      <c r="Q23" s="134"/>
      <c r="R23" s="140"/>
    </row>
    <row r="24" spans="1:18" x14ac:dyDescent="0.25">
      <c r="A24" s="5"/>
      <c r="B24" s="146" t="s">
        <v>8</v>
      </c>
      <c r="C24" s="147"/>
      <c r="D24" s="147"/>
      <c r="E24" s="148"/>
      <c r="F24" s="143" t="s">
        <v>9</v>
      </c>
      <c r="G24" s="143"/>
      <c r="H24" s="143"/>
      <c r="I24" s="7"/>
      <c r="J24" s="136" t="s">
        <v>10</v>
      </c>
      <c r="K24" s="136"/>
      <c r="L24" s="137"/>
      <c r="M24" s="131"/>
      <c r="N24" s="144" t="s">
        <v>11</v>
      </c>
      <c r="O24" s="131" t="s">
        <v>12</v>
      </c>
      <c r="P24" s="131" t="s">
        <v>13</v>
      </c>
      <c r="Q24" s="134"/>
      <c r="R24" s="140"/>
    </row>
    <row r="25" spans="1:18" ht="26.25" x14ac:dyDescent="0.25">
      <c r="A25" s="5" t="s">
        <v>14</v>
      </c>
      <c r="B25" s="8" t="s">
        <v>15</v>
      </c>
      <c r="C25" s="8" t="s">
        <v>16</v>
      </c>
      <c r="D25" s="8" t="s">
        <v>17</v>
      </c>
      <c r="E25" s="9" t="s">
        <v>18</v>
      </c>
      <c r="F25" s="10" t="s">
        <v>19</v>
      </c>
      <c r="G25" s="11" t="s">
        <v>20</v>
      </c>
      <c r="H25" s="12" t="s">
        <v>21</v>
      </c>
      <c r="I25" s="11" t="s">
        <v>22</v>
      </c>
      <c r="J25" s="136"/>
      <c r="K25" s="136"/>
      <c r="L25" s="137"/>
      <c r="M25" s="131"/>
      <c r="N25" s="144"/>
      <c r="O25" s="131"/>
      <c r="P25" s="131"/>
      <c r="Q25" s="134"/>
      <c r="R25" s="141"/>
    </row>
    <row r="26" spans="1:18" x14ac:dyDescent="0.25">
      <c r="A26" s="21">
        <v>9</v>
      </c>
      <c r="B26" s="21" t="s">
        <v>188</v>
      </c>
      <c r="C26" s="21" t="s">
        <v>189</v>
      </c>
      <c r="D26" s="21" t="s">
        <v>34</v>
      </c>
      <c r="E26" s="21" t="s">
        <v>84</v>
      </c>
      <c r="F26" s="21"/>
      <c r="G26" s="21"/>
      <c r="H26" s="21">
        <v>42</v>
      </c>
      <c r="I26" s="21">
        <f t="shared" ref="I26" si="0">SUM(F26:H26)</f>
        <v>42</v>
      </c>
      <c r="J26" s="22">
        <f t="shared" ref="J26" si="1">O26*Q26</f>
        <v>1402.91056</v>
      </c>
      <c r="K26" s="22">
        <f t="shared" ref="K26" si="2">J26*I26</f>
        <v>58922.243520000004</v>
      </c>
      <c r="L26" s="21">
        <v>101142</v>
      </c>
      <c r="M26" s="21"/>
      <c r="N26" s="21">
        <v>7.95</v>
      </c>
      <c r="O26" s="21">
        <v>8.9</v>
      </c>
      <c r="P26" s="21">
        <v>6.56</v>
      </c>
      <c r="Q26" s="21">
        <v>157.63040000000001</v>
      </c>
      <c r="R26" s="21" t="s">
        <v>190</v>
      </c>
    </row>
    <row r="32" spans="1:18" x14ac:dyDescent="0.25">
      <c r="A32" s="132" t="s">
        <v>294</v>
      </c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7" t="s">
        <v>1</v>
      </c>
      <c r="M32" s="1"/>
      <c r="N32" s="1"/>
      <c r="O32" s="1"/>
      <c r="P32" s="1"/>
      <c r="Q32" s="134" t="s">
        <v>2</v>
      </c>
      <c r="R32" s="145" t="s">
        <v>203</v>
      </c>
    </row>
    <row r="33" spans="1:19" x14ac:dyDescent="0.25">
      <c r="A33" s="135" t="s">
        <v>4</v>
      </c>
      <c r="B33" s="135"/>
      <c r="C33" s="135"/>
      <c r="D33" s="135"/>
      <c r="E33" s="135"/>
      <c r="F33" s="135"/>
      <c r="G33" s="135"/>
      <c r="H33" s="135"/>
      <c r="I33" s="135"/>
      <c r="J33" s="6" t="s">
        <v>5</v>
      </c>
      <c r="K33" s="136" t="s">
        <v>6</v>
      </c>
      <c r="L33" s="137"/>
      <c r="M33" s="131" t="s">
        <v>7</v>
      </c>
      <c r="N33" s="3"/>
      <c r="O33" s="3"/>
      <c r="P33" s="4"/>
      <c r="Q33" s="134"/>
      <c r="R33" s="145"/>
    </row>
    <row r="34" spans="1:19" x14ac:dyDescent="0.25">
      <c r="A34" s="5"/>
      <c r="B34" s="142" t="s">
        <v>140</v>
      </c>
      <c r="C34" s="142"/>
      <c r="D34" s="142"/>
      <c r="E34" s="142"/>
      <c r="F34" s="143" t="s">
        <v>9</v>
      </c>
      <c r="G34" s="143"/>
      <c r="H34" s="143"/>
      <c r="I34" s="7"/>
      <c r="J34" s="136" t="s">
        <v>10</v>
      </c>
      <c r="K34" s="136"/>
      <c r="L34" s="137"/>
      <c r="M34" s="131"/>
      <c r="N34" s="144" t="s">
        <v>11</v>
      </c>
      <c r="O34" s="131" t="s">
        <v>12</v>
      </c>
      <c r="P34" s="131" t="s">
        <v>13</v>
      </c>
      <c r="Q34" s="134"/>
      <c r="R34" s="145"/>
    </row>
    <row r="35" spans="1:19" ht="26.25" x14ac:dyDescent="0.25">
      <c r="A35" s="5" t="s">
        <v>14</v>
      </c>
      <c r="B35" s="8" t="s">
        <v>15</v>
      </c>
      <c r="C35" s="8" t="s">
        <v>16</v>
      </c>
      <c r="D35" s="8" t="s">
        <v>17</v>
      </c>
      <c r="E35" s="9" t="s">
        <v>18</v>
      </c>
      <c r="F35" s="10" t="s">
        <v>19</v>
      </c>
      <c r="G35" s="11" t="s">
        <v>20</v>
      </c>
      <c r="H35" s="12" t="s">
        <v>21</v>
      </c>
      <c r="I35" s="11" t="s">
        <v>22</v>
      </c>
      <c r="J35" s="136"/>
      <c r="K35" s="136"/>
      <c r="L35" s="137"/>
      <c r="M35" s="131"/>
      <c r="N35" s="144"/>
      <c r="O35" s="131"/>
      <c r="P35" s="131"/>
      <c r="Q35" s="134"/>
      <c r="R35" s="145"/>
    </row>
    <row r="36" spans="1:19" ht="96" customHeight="1" x14ac:dyDescent="0.25">
      <c r="A36" s="26">
        <v>1</v>
      </c>
      <c r="B36" s="27" t="s">
        <v>319</v>
      </c>
      <c r="C36" s="26" t="s">
        <v>320</v>
      </c>
      <c r="D36" s="26" t="s">
        <v>31</v>
      </c>
      <c r="E36" s="26" t="s">
        <v>84</v>
      </c>
      <c r="F36" s="26"/>
      <c r="G36" s="28"/>
      <c r="H36" s="26">
        <v>2</v>
      </c>
      <c r="I36" s="29">
        <f t="shared" ref="I36" si="3">SUM(F36:H36)</f>
        <v>2</v>
      </c>
      <c r="J36" s="29">
        <f t="shared" ref="J36" si="4">O36*Q36</f>
        <v>3278.7123200000001</v>
      </c>
      <c r="K36" s="29">
        <f t="shared" ref="K36" si="5">J36*I36</f>
        <v>6557.4246400000002</v>
      </c>
      <c r="L36" s="26">
        <v>52163</v>
      </c>
      <c r="M36" s="28"/>
      <c r="N36" s="28">
        <v>18.579999999999998</v>
      </c>
      <c r="O36" s="28">
        <v>20.8</v>
      </c>
      <c r="P36" s="28">
        <v>17.12</v>
      </c>
      <c r="Q36" s="28">
        <v>157.63040000000001</v>
      </c>
      <c r="R36" s="30" t="s">
        <v>321</v>
      </c>
    </row>
    <row r="42" spans="1:19" x14ac:dyDescent="0.25">
      <c r="A42" s="132" t="s">
        <v>521</v>
      </c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"/>
      <c r="N42" s="1"/>
      <c r="O42" s="1"/>
      <c r="P42" s="1"/>
      <c r="Q42" s="1"/>
      <c r="R42" s="134" t="s">
        <v>2</v>
      </c>
      <c r="S42" s="139" t="s">
        <v>522</v>
      </c>
    </row>
    <row r="43" spans="1:19" x14ac:dyDescent="0.25">
      <c r="A43" s="135" t="s">
        <v>496</v>
      </c>
      <c r="B43" s="135"/>
      <c r="C43" s="135"/>
      <c r="D43" s="135"/>
      <c r="E43" s="135"/>
      <c r="F43" s="135"/>
      <c r="G43" s="135"/>
      <c r="H43" s="135"/>
      <c r="I43" s="135"/>
      <c r="J43" s="6" t="s">
        <v>5</v>
      </c>
      <c r="K43" s="136" t="s">
        <v>6</v>
      </c>
      <c r="L43" s="137" t="s">
        <v>1</v>
      </c>
      <c r="M43" s="138" t="s">
        <v>205</v>
      </c>
      <c r="N43" s="131" t="s">
        <v>7</v>
      </c>
      <c r="O43" s="3"/>
      <c r="P43" s="3"/>
      <c r="Q43" s="4"/>
      <c r="R43" s="134"/>
      <c r="S43" s="140"/>
    </row>
    <row r="44" spans="1:19" x14ac:dyDescent="0.25">
      <c r="A44" s="5"/>
      <c r="B44" s="142" t="s">
        <v>140</v>
      </c>
      <c r="C44" s="142"/>
      <c r="D44" s="142"/>
      <c r="E44" s="142"/>
      <c r="F44" s="143" t="s">
        <v>9</v>
      </c>
      <c r="G44" s="143"/>
      <c r="H44" s="143"/>
      <c r="I44" s="7"/>
      <c r="J44" s="136" t="s">
        <v>10</v>
      </c>
      <c r="K44" s="136"/>
      <c r="L44" s="137"/>
      <c r="M44" s="138"/>
      <c r="N44" s="131"/>
      <c r="O44" s="144" t="s">
        <v>11</v>
      </c>
      <c r="P44" s="131" t="s">
        <v>12</v>
      </c>
      <c r="Q44" s="131" t="s">
        <v>13</v>
      </c>
      <c r="R44" s="134"/>
      <c r="S44" s="140"/>
    </row>
    <row r="45" spans="1:19" ht="26.25" x14ac:dyDescent="0.25">
      <c r="A45" s="5" t="s">
        <v>14</v>
      </c>
      <c r="B45" s="8" t="s">
        <v>15</v>
      </c>
      <c r="C45" s="8" t="s">
        <v>16</v>
      </c>
      <c r="D45" s="8" t="s">
        <v>17</v>
      </c>
      <c r="E45" s="9" t="s">
        <v>18</v>
      </c>
      <c r="F45" s="10" t="s">
        <v>19</v>
      </c>
      <c r="G45" s="11" t="s">
        <v>20</v>
      </c>
      <c r="H45" s="12" t="s">
        <v>21</v>
      </c>
      <c r="I45" s="11" t="s">
        <v>22</v>
      </c>
      <c r="J45" s="136"/>
      <c r="K45" s="136"/>
      <c r="L45" s="137"/>
      <c r="M45" s="138"/>
      <c r="N45" s="131"/>
      <c r="O45" s="144"/>
      <c r="P45" s="131"/>
      <c r="Q45" s="131"/>
      <c r="R45" s="134"/>
      <c r="S45" s="141"/>
    </row>
    <row r="46" spans="1:19" x14ac:dyDescent="0.25">
      <c r="A46" s="16">
        <v>1</v>
      </c>
      <c r="B46" s="16" t="s">
        <v>553</v>
      </c>
      <c r="C46" s="16" t="s">
        <v>554</v>
      </c>
      <c r="D46" s="55" t="s">
        <v>555</v>
      </c>
      <c r="E46" s="16" t="s">
        <v>475</v>
      </c>
      <c r="F46" s="16"/>
      <c r="G46" s="16"/>
      <c r="H46" s="16">
        <v>3</v>
      </c>
      <c r="I46" s="46">
        <f>SUM(F46:H46)</f>
        <v>3</v>
      </c>
      <c r="J46" s="46">
        <f>P46*R46</f>
        <v>0</v>
      </c>
      <c r="K46" s="46">
        <f>J46*I46</f>
        <v>0</v>
      </c>
      <c r="L46" s="16">
        <v>52189</v>
      </c>
      <c r="M46" s="16" t="s">
        <v>556</v>
      </c>
      <c r="N46" s="16"/>
      <c r="O46" s="16"/>
      <c r="P46" s="16"/>
      <c r="Q46" s="16"/>
      <c r="R46" s="16">
        <v>157.63040000000001</v>
      </c>
      <c r="S46" s="16" t="s">
        <v>557</v>
      </c>
    </row>
    <row r="47" spans="1:19" x14ac:dyDescent="0.25">
      <c r="A47" s="16">
        <v>2</v>
      </c>
      <c r="B47" s="16" t="s">
        <v>558</v>
      </c>
      <c r="C47" s="16" t="s">
        <v>554</v>
      </c>
      <c r="D47" s="55" t="s">
        <v>559</v>
      </c>
      <c r="E47" s="16" t="s">
        <v>475</v>
      </c>
      <c r="F47" s="16"/>
      <c r="G47" s="16"/>
      <c r="H47" s="16">
        <v>5</v>
      </c>
      <c r="I47" s="46">
        <f>SUM(F47:H47)</f>
        <v>5</v>
      </c>
      <c r="J47" s="46">
        <f>P47*R47</f>
        <v>0</v>
      </c>
      <c r="K47" s="46">
        <f>J47*I47</f>
        <v>0</v>
      </c>
      <c r="L47" s="16">
        <v>52189</v>
      </c>
      <c r="M47" s="16" t="s">
        <v>560</v>
      </c>
      <c r="N47" s="16"/>
      <c r="O47" s="16"/>
      <c r="P47" s="16"/>
      <c r="Q47" s="16"/>
      <c r="R47" s="16">
        <v>157.63040000000001</v>
      </c>
      <c r="S47" s="16" t="s">
        <v>557</v>
      </c>
    </row>
  </sheetData>
  <mergeCells count="64">
    <mergeCell ref="R42:R45"/>
    <mergeCell ref="S42:S45"/>
    <mergeCell ref="A43:I43"/>
    <mergeCell ref="K43:K45"/>
    <mergeCell ref="L43:L45"/>
    <mergeCell ref="M43:M45"/>
    <mergeCell ref="N43:N45"/>
    <mergeCell ref="B44:E44"/>
    <mergeCell ref="F44:H44"/>
    <mergeCell ref="J44:J45"/>
    <mergeCell ref="O44:O45"/>
    <mergeCell ref="P44:P45"/>
    <mergeCell ref="Q44:Q45"/>
    <mergeCell ref="A42:L42"/>
    <mergeCell ref="A32:K32"/>
    <mergeCell ref="L32:L35"/>
    <mergeCell ref="R32:R35"/>
    <mergeCell ref="A33:I33"/>
    <mergeCell ref="K33:K35"/>
    <mergeCell ref="M33:M35"/>
    <mergeCell ref="B34:E34"/>
    <mergeCell ref="F34:H34"/>
    <mergeCell ref="J34:J35"/>
    <mergeCell ref="N34:N35"/>
    <mergeCell ref="O34:O35"/>
    <mergeCell ref="P34:P35"/>
    <mergeCell ref="Q32:Q35"/>
    <mergeCell ref="A22:K22"/>
    <mergeCell ref="L22:L25"/>
    <mergeCell ref="Q22:Q25"/>
    <mergeCell ref="R22:R25"/>
    <mergeCell ref="A23:I23"/>
    <mergeCell ref="K23:K25"/>
    <mergeCell ref="M23:M25"/>
    <mergeCell ref="B24:E24"/>
    <mergeCell ref="F24:H24"/>
    <mergeCell ref="J24:J25"/>
    <mergeCell ref="N24:N25"/>
    <mergeCell ref="O24:O25"/>
    <mergeCell ref="P24:P25"/>
    <mergeCell ref="P14:P15"/>
    <mergeCell ref="L13:L15"/>
    <mergeCell ref="Q12:Q15"/>
    <mergeCell ref="R12:R15"/>
    <mergeCell ref="A13:I13"/>
    <mergeCell ref="K13:K15"/>
    <mergeCell ref="M13:M15"/>
    <mergeCell ref="B14:E14"/>
    <mergeCell ref="F14:H14"/>
    <mergeCell ref="J14:J15"/>
    <mergeCell ref="N14:N15"/>
    <mergeCell ref="O14:O15"/>
    <mergeCell ref="Q1:Q4"/>
    <mergeCell ref="R1:R4"/>
    <mergeCell ref="A2:I2"/>
    <mergeCell ref="K2:K4"/>
    <mergeCell ref="M2:M4"/>
    <mergeCell ref="B3:E3"/>
    <mergeCell ref="F3:H3"/>
    <mergeCell ref="J3:J4"/>
    <mergeCell ref="N3:N4"/>
    <mergeCell ref="O3:O4"/>
    <mergeCell ref="P3:P4"/>
    <mergeCell ref="L2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51"/>
  <sheetViews>
    <sheetView tabSelected="1" workbookViewId="0">
      <selection activeCell="B31" sqref="B31"/>
    </sheetView>
  </sheetViews>
  <sheetFormatPr defaultRowHeight="15" x14ac:dyDescent="0.25"/>
  <cols>
    <col min="1" max="1" width="4.5703125" bestFit="1" customWidth="1"/>
    <col min="2" max="2" width="31.140625" bestFit="1" customWidth="1"/>
    <col min="3" max="3" width="13" bestFit="1" customWidth="1"/>
    <col min="4" max="4" width="9.85546875" bestFit="1" customWidth="1"/>
    <col min="5" max="5" width="8.42578125" bestFit="1" customWidth="1"/>
    <col min="6" max="6" width="7.85546875" bestFit="1" customWidth="1"/>
    <col min="7" max="7" width="9" bestFit="1" customWidth="1"/>
    <col min="8" max="8" width="6.85546875" bestFit="1" customWidth="1"/>
    <col min="9" max="9" width="6.28515625" bestFit="1" customWidth="1"/>
    <col min="10" max="10" width="17.140625" bestFit="1" customWidth="1"/>
    <col min="11" max="11" width="16" bestFit="1" customWidth="1"/>
    <col min="12" max="12" width="9" bestFit="1" customWidth="1"/>
    <col min="13" max="13" width="12.7109375" bestFit="1" customWidth="1"/>
    <col min="14" max="14" width="8" bestFit="1" customWidth="1"/>
    <col min="15" max="15" width="9" bestFit="1" customWidth="1"/>
    <col min="16" max="16" width="10.28515625" bestFit="1" customWidth="1"/>
    <col min="17" max="18" width="15.140625" bestFit="1" customWidth="1"/>
  </cols>
  <sheetData>
    <row r="3" spans="1:18" x14ac:dyDescent="0.25">
      <c r="A3" s="156" t="s">
        <v>706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11" t="s">
        <v>2</v>
      </c>
    </row>
    <row r="4" spans="1:18" ht="15" customHeight="1" x14ac:dyDescent="0.25">
      <c r="A4" s="179" t="s">
        <v>711</v>
      </c>
      <c r="B4" s="180"/>
      <c r="C4" s="180"/>
      <c r="D4" s="180"/>
      <c r="E4" s="180"/>
      <c r="F4" s="180"/>
      <c r="G4" s="180"/>
      <c r="H4" s="180"/>
      <c r="I4" s="181"/>
      <c r="J4" s="94" t="s">
        <v>5</v>
      </c>
      <c r="K4" s="113" t="s">
        <v>6</v>
      </c>
      <c r="L4" s="114" t="s">
        <v>1</v>
      </c>
      <c r="M4" s="115" t="s">
        <v>7</v>
      </c>
      <c r="N4" s="83"/>
      <c r="O4" s="83"/>
      <c r="P4" s="84"/>
      <c r="Q4" s="111"/>
    </row>
    <row r="5" spans="1:18" x14ac:dyDescent="0.25">
      <c r="A5" s="85" t="s">
        <v>14</v>
      </c>
      <c r="B5" s="118" t="s">
        <v>15</v>
      </c>
      <c r="C5" s="118" t="s">
        <v>16</v>
      </c>
      <c r="D5" s="118" t="s">
        <v>17</v>
      </c>
      <c r="E5" s="119" t="s">
        <v>18</v>
      </c>
      <c r="F5" s="119" t="s">
        <v>9</v>
      </c>
      <c r="G5" s="119"/>
      <c r="H5" s="119"/>
      <c r="I5" s="86"/>
      <c r="J5" s="113" t="s">
        <v>10</v>
      </c>
      <c r="K5" s="113"/>
      <c r="L5" s="114"/>
      <c r="M5" s="116"/>
      <c r="N5" s="120" t="s">
        <v>11</v>
      </c>
      <c r="O5" s="122" t="s">
        <v>12</v>
      </c>
      <c r="P5" s="122" t="s">
        <v>13</v>
      </c>
      <c r="Q5" s="111"/>
    </row>
    <row r="6" spans="1:18" ht="30" x14ac:dyDescent="0.25">
      <c r="A6" s="85"/>
      <c r="B6" s="118"/>
      <c r="C6" s="118"/>
      <c r="D6" s="118"/>
      <c r="E6" s="119"/>
      <c r="F6" s="85" t="s">
        <v>19</v>
      </c>
      <c r="G6" s="95" t="s">
        <v>20</v>
      </c>
      <c r="H6" s="88" t="s">
        <v>21</v>
      </c>
      <c r="I6" s="95" t="s">
        <v>22</v>
      </c>
      <c r="J6" s="113"/>
      <c r="K6" s="113"/>
      <c r="L6" s="114"/>
      <c r="M6" s="117"/>
      <c r="N6" s="121"/>
      <c r="O6" s="122"/>
      <c r="P6" s="122"/>
      <c r="Q6" s="111"/>
    </row>
    <row r="7" spans="1:18" ht="30" customHeight="1" x14ac:dyDescent="0.25">
      <c r="A7" s="157">
        <v>1</v>
      </c>
      <c r="B7" s="158" t="s">
        <v>707</v>
      </c>
      <c r="C7" s="159" t="s">
        <v>708</v>
      </c>
      <c r="D7" s="160" t="s">
        <v>709</v>
      </c>
      <c r="E7" s="79" t="s">
        <v>26</v>
      </c>
      <c r="F7" s="79"/>
      <c r="G7" s="160">
        <v>11</v>
      </c>
      <c r="H7" s="79"/>
      <c r="I7" s="79"/>
      <c r="J7" s="80">
        <f>O7*Q7</f>
        <v>48689.040399999998</v>
      </c>
      <c r="K7" s="80">
        <f>J7*G7</f>
        <v>535579.44439999992</v>
      </c>
      <c r="L7" s="161">
        <v>100544</v>
      </c>
      <c r="M7" s="73" t="s">
        <v>710</v>
      </c>
      <c r="N7" s="79">
        <v>275</v>
      </c>
      <c r="O7" s="79">
        <v>308</v>
      </c>
      <c r="P7" s="79">
        <v>212.61600000000001</v>
      </c>
      <c r="Q7" s="79">
        <v>158.0813</v>
      </c>
    </row>
    <row r="8" spans="1:18" x14ac:dyDescent="0.25">
      <c r="A8" s="198" t="s">
        <v>5</v>
      </c>
      <c r="B8" s="199"/>
      <c r="C8" s="199"/>
      <c r="D8" s="199"/>
      <c r="E8" s="199"/>
      <c r="F8" s="199"/>
      <c r="G8" s="199"/>
      <c r="H8" s="199"/>
      <c r="I8" s="199"/>
      <c r="J8" s="200"/>
      <c r="K8" s="57">
        <f>SUM(K7)</f>
        <v>535579.44439999992</v>
      </c>
      <c r="L8" s="13"/>
      <c r="M8" s="13"/>
      <c r="N8" s="13"/>
      <c r="O8" s="13"/>
      <c r="P8" s="13"/>
      <c r="Q8" s="13"/>
    </row>
    <row r="9" spans="1:18" x14ac:dyDescent="0.25">
      <c r="A9" s="198" t="s">
        <v>669</v>
      </c>
      <c r="B9" s="199"/>
      <c r="C9" s="199"/>
      <c r="D9" s="199"/>
      <c r="E9" s="199"/>
      <c r="F9" s="199"/>
      <c r="G9" s="199"/>
      <c r="H9" s="199"/>
      <c r="I9" s="199"/>
      <c r="J9" s="200"/>
      <c r="K9" s="13"/>
      <c r="L9" s="13"/>
      <c r="M9" s="13"/>
      <c r="N9" s="13"/>
      <c r="O9" s="13"/>
      <c r="P9" s="13"/>
      <c r="Q9" s="13"/>
    </row>
    <row r="13" spans="1:18" x14ac:dyDescent="0.25">
      <c r="A13" s="182" t="s">
        <v>712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90" t="s">
        <v>2</v>
      </c>
    </row>
    <row r="14" spans="1:18" ht="15" customHeight="1" x14ac:dyDescent="0.25">
      <c r="A14" s="179" t="s">
        <v>713</v>
      </c>
      <c r="B14" s="180"/>
      <c r="C14" s="180"/>
      <c r="D14" s="180"/>
      <c r="E14" s="180"/>
      <c r="F14" s="180"/>
      <c r="G14" s="180"/>
      <c r="H14" s="180"/>
      <c r="I14" s="181"/>
      <c r="J14" s="182" t="s">
        <v>5</v>
      </c>
      <c r="K14" s="183" t="s">
        <v>6</v>
      </c>
      <c r="L14" s="183" t="s">
        <v>1</v>
      </c>
      <c r="M14" s="183" t="s">
        <v>205</v>
      </c>
      <c r="N14" s="183" t="s">
        <v>7</v>
      </c>
      <c r="O14" s="187" t="s">
        <v>11</v>
      </c>
      <c r="P14" s="187" t="s">
        <v>12</v>
      </c>
      <c r="Q14" s="187" t="s">
        <v>13</v>
      </c>
      <c r="R14" s="191"/>
    </row>
    <row r="15" spans="1:18" ht="15" customHeight="1" x14ac:dyDescent="0.25">
      <c r="A15" s="182"/>
      <c r="B15" s="183" t="s">
        <v>15</v>
      </c>
      <c r="C15" s="183" t="s">
        <v>16</v>
      </c>
      <c r="D15" s="183" t="s">
        <v>17</v>
      </c>
      <c r="E15" s="183" t="s">
        <v>18</v>
      </c>
      <c r="F15" s="179" t="s">
        <v>9</v>
      </c>
      <c r="G15" s="180"/>
      <c r="H15" s="180"/>
      <c r="I15" s="181"/>
      <c r="J15" s="183" t="s">
        <v>10</v>
      </c>
      <c r="K15" s="186"/>
      <c r="L15" s="186"/>
      <c r="M15" s="186"/>
      <c r="N15" s="186"/>
      <c r="O15" s="189"/>
      <c r="P15" s="189"/>
      <c r="Q15" s="189"/>
      <c r="R15" s="191"/>
    </row>
    <row r="16" spans="1:18" ht="30" x14ac:dyDescent="0.25">
      <c r="A16" s="182" t="s">
        <v>14</v>
      </c>
      <c r="B16" s="184"/>
      <c r="C16" s="184"/>
      <c r="D16" s="184"/>
      <c r="E16" s="184"/>
      <c r="F16" s="185" t="s">
        <v>19</v>
      </c>
      <c r="G16" s="185" t="s">
        <v>20</v>
      </c>
      <c r="H16" s="185" t="s">
        <v>21</v>
      </c>
      <c r="I16" s="185" t="s">
        <v>22</v>
      </c>
      <c r="J16" s="184"/>
      <c r="K16" s="184"/>
      <c r="L16" s="184"/>
      <c r="M16" s="184"/>
      <c r="N16" s="184"/>
      <c r="O16" s="188"/>
      <c r="P16" s="188"/>
      <c r="Q16" s="188"/>
      <c r="R16" s="192"/>
    </row>
    <row r="17" spans="1:18" x14ac:dyDescent="0.25">
      <c r="A17" s="163">
        <v>1</v>
      </c>
      <c r="B17" s="163" t="s">
        <v>714</v>
      </c>
      <c r="C17" s="164" t="s">
        <v>715</v>
      </c>
      <c r="D17" s="164" t="s">
        <v>716</v>
      </c>
      <c r="E17" s="164" t="s">
        <v>717</v>
      </c>
      <c r="F17" s="162"/>
      <c r="G17" s="164">
        <v>25</v>
      </c>
      <c r="H17" s="162"/>
      <c r="I17" s="162"/>
      <c r="J17" s="165">
        <f t="shared" ref="J17:J49" si="0">P17*R17</f>
        <v>4152.1001400000005</v>
      </c>
      <c r="K17" s="165">
        <f>J17*G17</f>
        <v>103802.50350000001</v>
      </c>
      <c r="L17" s="164">
        <v>100548</v>
      </c>
      <c r="M17" s="166">
        <v>46399</v>
      </c>
      <c r="N17" s="167" t="s">
        <v>718</v>
      </c>
      <c r="O17" s="162">
        <v>23.6</v>
      </c>
      <c r="P17" s="162">
        <v>26.43</v>
      </c>
      <c r="Q17" s="162">
        <v>9.31</v>
      </c>
      <c r="R17" s="162">
        <v>157.09800000000001</v>
      </c>
    </row>
    <row r="18" spans="1:18" x14ac:dyDescent="0.25">
      <c r="A18" s="163">
        <v>2</v>
      </c>
      <c r="B18" s="163" t="s">
        <v>719</v>
      </c>
      <c r="C18" s="164" t="s">
        <v>720</v>
      </c>
      <c r="D18" s="164" t="s">
        <v>716</v>
      </c>
      <c r="E18" s="164" t="s">
        <v>26</v>
      </c>
      <c r="F18" s="162"/>
      <c r="G18" s="164">
        <v>11</v>
      </c>
      <c r="H18" s="162"/>
      <c r="I18" s="162"/>
      <c r="J18" s="165">
        <f t="shared" si="0"/>
        <v>622.10808000000009</v>
      </c>
      <c r="K18" s="165">
        <f t="shared" ref="K18:K49" si="1">J18*G18</f>
        <v>6843.1888800000006</v>
      </c>
      <c r="L18" s="164">
        <v>100548</v>
      </c>
      <c r="M18" s="166">
        <v>46399</v>
      </c>
      <c r="N18" s="168"/>
      <c r="O18" s="162">
        <v>3.54</v>
      </c>
      <c r="P18" s="162">
        <v>3.96</v>
      </c>
      <c r="Q18" s="162">
        <v>1.39</v>
      </c>
      <c r="R18" s="162">
        <v>157.09800000000001</v>
      </c>
    </row>
    <row r="19" spans="1:18" x14ac:dyDescent="0.25">
      <c r="A19" s="163">
        <v>3</v>
      </c>
      <c r="B19" s="163" t="s">
        <v>721</v>
      </c>
      <c r="C19" s="164" t="s">
        <v>722</v>
      </c>
      <c r="D19" s="164" t="s">
        <v>34</v>
      </c>
      <c r="E19" s="164" t="s">
        <v>563</v>
      </c>
      <c r="F19" s="162"/>
      <c r="G19" s="164">
        <v>6</v>
      </c>
      <c r="H19" s="162"/>
      <c r="I19" s="162"/>
      <c r="J19" s="165">
        <f t="shared" si="0"/>
        <v>2595.2589600000001</v>
      </c>
      <c r="K19" s="165">
        <f t="shared" si="1"/>
        <v>15571.553760000001</v>
      </c>
      <c r="L19" s="164">
        <v>100548</v>
      </c>
      <c r="M19" s="166">
        <v>46397</v>
      </c>
      <c r="N19" s="168"/>
      <c r="O19" s="162">
        <v>14.75</v>
      </c>
      <c r="P19" s="162">
        <v>16.52</v>
      </c>
      <c r="Q19" s="162">
        <v>5.82</v>
      </c>
      <c r="R19" s="162">
        <v>157.09800000000001</v>
      </c>
    </row>
    <row r="20" spans="1:18" x14ac:dyDescent="0.25">
      <c r="A20" s="163">
        <v>4</v>
      </c>
      <c r="B20" s="163" t="s">
        <v>723</v>
      </c>
      <c r="C20" s="164" t="s">
        <v>715</v>
      </c>
      <c r="D20" s="164" t="s">
        <v>34</v>
      </c>
      <c r="E20" s="164" t="s">
        <v>563</v>
      </c>
      <c r="F20" s="162"/>
      <c r="G20" s="164">
        <v>18</v>
      </c>
      <c r="H20" s="162"/>
      <c r="I20" s="162"/>
      <c r="J20" s="165">
        <f t="shared" si="0"/>
        <v>2427.1641</v>
      </c>
      <c r="K20" s="165">
        <f t="shared" si="1"/>
        <v>43688.953800000003</v>
      </c>
      <c r="L20" s="164">
        <v>100548</v>
      </c>
      <c r="M20" s="166">
        <v>46762</v>
      </c>
      <c r="N20" s="168"/>
      <c r="O20" s="162">
        <v>13.8</v>
      </c>
      <c r="P20" s="162">
        <v>15.45</v>
      </c>
      <c r="Q20" s="162">
        <v>7.49</v>
      </c>
      <c r="R20" s="162">
        <v>157.09800000000001</v>
      </c>
    </row>
    <row r="21" spans="1:18" x14ac:dyDescent="0.25">
      <c r="A21" s="163">
        <v>5</v>
      </c>
      <c r="B21" s="163" t="s">
        <v>724</v>
      </c>
      <c r="C21" s="164" t="s">
        <v>725</v>
      </c>
      <c r="D21" s="164" t="s">
        <v>34</v>
      </c>
      <c r="E21" s="164" t="s">
        <v>563</v>
      </c>
      <c r="F21" s="162"/>
      <c r="G21" s="164">
        <v>11</v>
      </c>
      <c r="H21" s="162"/>
      <c r="I21" s="162"/>
      <c r="J21" s="165">
        <f t="shared" si="0"/>
        <v>2427.1641</v>
      </c>
      <c r="K21" s="165">
        <f t="shared" si="1"/>
        <v>26698.805099999998</v>
      </c>
      <c r="L21" s="164">
        <v>100548</v>
      </c>
      <c r="M21" s="166">
        <v>46398</v>
      </c>
      <c r="N21" s="168"/>
      <c r="O21" s="162">
        <v>13.8</v>
      </c>
      <c r="P21" s="162">
        <v>15.45</v>
      </c>
      <c r="Q21" s="162">
        <v>7.49</v>
      </c>
      <c r="R21" s="162">
        <v>157.09800000000001</v>
      </c>
    </row>
    <row r="22" spans="1:18" x14ac:dyDescent="0.25">
      <c r="A22" s="163">
        <v>6</v>
      </c>
      <c r="B22" s="163" t="s">
        <v>726</v>
      </c>
      <c r="C22" s="164" t="s">
        <v>727</v>
      </c>
      <c r="D22" s="164" t="s">
        <v>728</v>
      </c>
      <c r="E22" s="164" t="s">
        <v>563</v>
      </c>
      <c r="F22" s="162"/>
      <c r="G22" s="164">
        <v>1</v>
      </c>
      <c r="H22" s="162"/>
      <c r="I22" s="162"/>
      <c r="J22" s="165">
        <f t="shared" si="0"/>
        <v>2427.1641</v>
      </c>
      <c r="K22" s="165">
        <f t="shared" si="1"/>
        <v>2427.1641</v>
      </c>
      <c r="L22" s="164">
        <v>100458</v>
      </c>
      <c r="M22" s="164">
        <v>2027</v>
      </c>
      <c r="N22" s="168"/>
      <c r="O22" s="162">
        <v>13.8</v>
      </c>
      <c r="P22" s="162">
        <v>15.45</v>
      </c>
      <c r="Q22" s="162">
        <v>7.49</v>
      </c>
      <c r="R22" s="162">
        <v>157.09800000000001</v>
      </c>
    </row>
    <row r="23" spans="1:18" x14ac:dyDescent="0.25">
      <c r="A23" s="163">
        <v>7</v>
      </c>
      <c r="B23" s="163" t="s">
        <v>729</v>
      </c>
      <c r="C23" s="164" t="s">
        <v>725</v>
      </c>
      <c r="D23" s="164" t="s">
        <v>34</v>
      </c>
      <c r="E23" s="164" t="s">
        <v>563</v>
      </c>
      <c r="F23" s="162"/>
      <c r="G23" s="164">
        <v>4</v>
      </c>
      <c r="H23" s="162"/>
      <c r="I23" s="162"/>
      <c r="J23" s="165">
        <f t="shared" si="0"/>
        <v>4855.8991800000003</v>
      </c>
      <c r="K23" s="165">
        <f t="shared" si="1"/>
        <v>19423.596720000001</v>
      </c>
      <c r="L23" s="164">
        <v>100458</v>
      </c>
      <c r="M23" s="164">
        <v>2027</v>
      </c>
      <c r="N23" s="168"/>
      <c r="O23" s="162">
        <v>27.6</v>
      </c>
      <c r="P23" s="162">
        <v>30.91</v>
      </c>
      <c r="Q23" s="162">
        <v>14.98</v>
      </c>
      <c r="R23" s="162">
        <v>157.09800000000001</v>
      </c>
    </row>
    <row r="24" spans="1:18" x14ac:dyDescent="0.25">
      <c r="A24" s="163">
        <v>8</v>
      </c>
      <c r="B24" s="163" t="s">
        <v>730</v>
      </c>
      <c r="C24" s="164" t="s">
        <v>728</v>
      </c>
      <c r="D24" s="164" t="s">
        <v>731</v>
      </c>
      <c r="E24" s="164" t="s">
        <v>563</v>
      </c>
      <c r="F24" s="162"/>
      <c r="G24" s="164">
        <v>7</v>
      </c>
      <c r="H24" s="162"/>
      <c r="I24" s="162"/>
      <c r="J24" s="165">
        <f t="shared" si="0"/>
        <v>2125.5359400000002</v>
      </c>
      <c r="K24" s="165">
        <f t="shared" si="1"/>
        <v>14878.751580000002</v>
      </c>
      <c r="L24" s="164">
        <v>100549</v>
      </c>
      <c r="M24" s="166">
        <v>46398</v>
      </c>
      <c r="N24" s="168"/>
      <c r="O24" s="162">
        <v>12.08</v>
      </c>
      <c r="P24" s="162">
        <v>13.53</v>
      </c>
      <c r="Q24" s="162">
        <v>8.27</v>
      </c>
      <c r="R24" s="162">
        <v>157.09800000000001</v>
      </c>
    </row>
    <row r="25" spans="1:18" x14ac:dyDescent="0.25">
      <c r="A25" s="163">
        <v>9</v>
      </c>
      <c r="B25" s="163" t="s">
        <v>732</v>
      </c>
      <c r="C25" s="164" t="s">
        <v>715</v>
      </c>
      <c r="D25" s="164" t="s">
        <v>733</v>
      </c>
      <c r="E25" s="164" t="s">
        <v>475</v>
      </c>
      <c r="F25" s="162"/>
      <c r="G25" s="164">
        <v>16</v>
      </c>
      <c r="H25" s="162"/>
      <c r="I25" s="162"/>
      <c r="J25" s="165">
        <f t="shared" si="0"/>
        <v>3630.5347800000004</v>
      </c>
      <c r="K25" s="165">
        <f t="shared" si="1"/>
        <v>58088.556480000007</v>
      </c>
      <c r="L25" s="164">
        <v>52253</v>
      </c>
      <c r="M25" s="166">
        <v>46392</v>
      </c>
      <c r="N25" s="168"/>
      <c r="O25" s="162">
        <v>20.64</v>
      </c>
      <c r="P25" s="162">
        <v>23.11</v>
      </c>
      <c r="Q25" s="162">
        <v>17.05</v>
      </c>
      <c r="R25" s="162">
        <v>157.09800000000001</v>
      </c>
    </row>
    <row r="26" spans="1:18" x14ac:dyDescent="0.25">
      <c r="A26" s="163">
        <v>10</v>
      </c>
      <c r="B26" s="163" t="s">
        <v>734</v>
      </c>
      <c r="C26" s="164" t="s">
        <v>735</v>
      </c>
      <c r="D26" s="164" t="s">
        <v>733</v>
      </c>
      <c r="E26" s="164" t="s">
        <v>475</v>
      </c>
      <c r="F26" s="162"/>
      <c r="G26" s="164">
        <v>1</v>
      </c>
      <c r="H26" s="162"/>
      <c r="I26" s="162"/>
      <c r="J26" s="165">
        <f t="shared" si="0"/>
        <v>1955.8701000000001</v>
      </c>
      <c r="K26" s="165">
        <f t="shared" si="1"/>
        <v>1955.8701000000001</v>
      </c>
      <c r="L26" s="164">
        <v>52252</v>
      </c>
      <c r="M26" s="166">
        <v>46515</v>
      </c>
      <c r="N26" s="168"/>
      <c r="O26" s="162">
        <v>11.11</v>
      </c>
      <c r="P26" s="162">
        <v>12.45</v>
      </c>
      <c r="Q26" s="162">
        <v>9.18</v>
      </c>
      <c r="R26" s="162">
        <v>157.09800000000001</v>
      </c>
    </row>
    <row r="27" spans="1:18" x14ac:dyDescent="0.25">
      <c r="A27" s="163">
        <v>11</v>
      </c>
      <c r="B27" s="163" t="s">
        <v>736</v>
      </c>
      <c r="C27" s="164" t="s">
        <v>737</v>
      </c>
      <c r="D27" s="164" t="s">
        <v>738</v>
      </c>
      <c r="E27" s="164" t="s">
        <v>26</v>
      </c>
      <c r="F27" s="162"/>
      <c r="G27" s="164">
        <v>47</v>
      </c>
      <c r="H27" s="162"/>
      <c r="I27" s="162"/>
      <c r="J27" s="165">
        <f t="shared" si="0"/>
        <v>389.60304000000002</v>
      </c>
      <c r="K27" s="165">
        <f t="shared" si="1"/>
        <v>18311.34288</v>
      </c>
      <c r="L27" s="164">
        <v>52253</v>
      </c>
      <c r="M27" s="164" t="s">
        <v>739</v>
      </c>
      <c r="N27" s="168"/>
      <c r="O27" s="162">
        <v>2.2200000000000002</v>
      </c>
      <c r="P27" s="162">
        <v>2.48</v>
      </c>
      <c r="Q27" s="162">
        <v>0.59</v>
      </c>
      <c r="R27" s="162">
        <v>157.09800000000001</v>
      </c>
    </row>
    <row r="28" spans="1:18" x14ac:dyDescent="0.25">
      <c r="A28" s="163">
        <v>12</v>
      </c>
      <c r="B28" s="163" t="s">
        <v>740</v>
      </c>
      <c r="C28" s="164" t="s">
        <v>741</v>
      </c>
      <c r="D28" s="164" t="s">
        <v>742</v>
      </c>
      <c r="E28" s="164" t="s">
        <v>475</v>
      </c>
      <c r="F28" s="162"/>
      <c r="G28" s="164">
        <v>3</v>
      </c>
      <c r="H28" s="162"/>
      <c r="I28" s="162"/>
      <c r="J28" s="165">
        <f t="shared" si="0"/>
        <v>754.07040000000006</v>
      </c>
      <c r="K28" s="165">
        <f t="shared" si="1"/>
        <v>2262.2112000000002</v>
      </c>
      <c r="L28" s="164">
        <v>52253</v>
      </c>
      <c r="M28" s="164" t="s">
        <v>743</v>
      </c>
      <c r="N28" s="168"/>
      <c r="O28" s="162">
        <v>4.29</v>
      </c>
      <c r="P28" s="162">
        <v>4.8</v>
      </c>
      <c r="Q28" s="162">
        <v>3.54</v>
      </c>
      <c r="R28" s="162">
        <v>157.09800000000001</v>
      </c>
    </row>
    <row r="29" spans="1:18" x14ac:dyDescent="0.25">
      <c r="A29" s="169">
        <v>13</v>
      </c>
      <c r="B29" s="169" t="s">
        <v>744</v>
      </c>
      <c r="C29" s="170" t="s">
        <v>745</v>
      </c>
      <c r="D29" s="170" t="s">
        <v>716</v>
      </c>
      <c r="E29" s="170" t="s">
        <v>746</v>
      </c>
      <c r="F29" s="171"/>
      <c r="G29" s="170">
        <v>6</v>
      </c>
      <c r="H29" s="171"/>
      <c r="I29" s="171"/>
      <c r="J29" s="172">
        <f t="shared" si="0"/>
        <v>879.74880000000007</v>
      </c>
      <c r="K29" s="172">
        <f t="shared" si="1"/>
        <v>5278.4928</v>
      </c>
      <c r="L29" s="170">
        <v>52253</v>
      </c>
      <c r="M29" s="173">
        <v>46392</v>
      </c>
      <c r="N29" s="168"/>
      <c r="O29" s="171">
        <v>5</v>
      </c>
      <c r="P29" s="171">
        <v>5.6</v>
      </c>
      <c r="Q29" s="171">
        <v>4.13</v>
      </c>
      <c r="R29" s="162">
        <v>157.09800000000001</v>
      </c>
    </row>
    <row r="30" spans="1:18" x14ac:dyDescent="0.25">
      <c r="A30" s="163">
        <v>14</v>
      </c>
      <c r="B30" s="163" t="s">
        <v>747</v>
      </c>
      <c r="C30" s="164" t="s">
        <v>748</v>
      </c>
      <c r="D30" s="164" t="s">
        <v>738</v>
      </c>
      <c r="E30" s="164" t="s">
        <v>475</v>
      </c>
      <c r="F30" s="162"/>
      <c r="G30" s="164">
        <v>6</v>
      </c>
      <c r="H30" s="162"/>
      <c r="I30" s="162"/>
      <c r="J30" s="165">
        <f t="shared" si="0"/>
        <v>730.50570000000016</v>
      </c>
      <c r="K30" s="165">
        <f t="shared" si="1"/>
        <v>4383.034200000001</v>
      </c>
      <c r="L30" s="164">
        <v>52253</v>
      </c>
      <c r="M30" s="166">
        <v>46398</v>
      </c>
      <c r="N30" s="168"/>
      <c r="O30" s="162">
        <v>4.16</v>
      </c>
      <c r="P30" s="162">
        <v>4.6500000000000004</v>
      </c>
      <c r="Q30" s="162">
        <v>3.43</v>
      </c>
      <c r="R30" s="162">
        <v>157.09800000000001</v>
      </c>
    </row>
    <row r="31" spans="1:18" x14ac:dyDescent="0.25">
      <c r="A31" s="163">
        <v>15</v>
      </c>
      <c r="B31" s="163" t="s">
        <v>749</v>
      </c>
      <c r="C31" s="164" t="s">
        <v>750</v>
      </c>
      <c r="D31" s="164" t="s">
        <v>751</v>
      </c>
      <c r="E31" s="164" t="s">
        <v>475</v>
      </c>
      <c r="F31" s="162"/>
      <c r="G31" s="164">
        <v>12</v>
      </c>
      <c r="H31" s="162"/>
      <c r="I31" s="162"/>
      <c r="J31" s="165">
        <f t="shared" si="0"/>
        <v>1723.3650600000003</v>
      </c>
      <c r="K31" s="165">
        <f t="shared" si="1"/>
        <v>20680.380720000005</v>
      </c>
      <c r="L31" s="164">
        <v>52253</v>
      </c>
      <c r="M31" s="166">
        <v>46398</v>
      </c>
      <c r="N31" s="168"/>
      <c r="O31" s="162">
        <v>9.8000000000000007</v>
      </c>
      <c r="P31" s="162">
        <v>10.97</v>
      </c>
      <c r="Q31" s="162">
        <v>8.09</v>
      </c>
      <c r="R31" s="162">
        <v>157.09800000000001</v>
      </c>
    </row>
    <row r="32" spans="1:18" x14ac:dyDescent="0.25">
      <c r="A32" s="169">
        <v>16</v>
      </c>
      <c r="B32" s="169" t="s">
        <v>752</v>
      </c>
      <c r="C32" s="170" t="s">
        <v>753</v>
      </c>
      <c r="D32" s="170" t="s">
        <v>754</v>
      </c>
      <c r="E32" s="170" t="s">
        <v>563</v>
      </c>
      <c r="F32" s="171"/>
      <c r="G32" s="170">
        <v>5</v>
      </c>
      <c r="H32" s="171"/>
      <c r="I32" s="171"/>
      <c r="J32" s="172">
        <f t="shared" si="0"/>
        <v>2189.9461200000001</v>
      </c>
      <c r="K32" s="172">
        <f t="shared" si="1"/>
        <v>10949.730600000001</v>
      </c>
      <c r="L32" s="170">
        <v>52253</v>
      </c>
      <c r="M32" s="173">
        <v>46392</v>
      </c>
      <c r="N32" s="168"/>
      <c r="O32" s="171">
        <v>12.45</v>
      </c>
      <c r="P32" s="171">
        <v>13.94</v>
      </c>
      <c r="Q32" s="171">
        <v>6.75</v>
      </c>
      <c r="R32" s="162">
        <v>157.09800000000001</v>
      </c>
    </row>
    <row r="33" spans="1:18" x14ac:dyDescent="0.25">
      <c r="A33" s="163">
        <v>17</v>
      </c>
      <c r="B33" s="163" t="s">
        <v>749</v>
      </c>
      <c r="C33" s="164" t="s">
        <v>755</v>
      </c>
      <c r="D33" s="164" t="s">
        <v>756</v>
      </c>
      <c r="E33" s="164" t="s">
        <v>757</v>
      </c>
      <c r="F33" s="162"/>
      <c r="G33" s="164">
        <v>6</v>
      </c>
      <c r="H33" s="162"/>
      <c r="I33" s="162"/>
      <c r="J33" s="165">
        <f t="shared" si="0"/>
        <v>1723.3650600000003</v>
      </c>
      <c r="K33" s="165">
        <f t="shared" si="1"/>
        <v>10340.190360000002</v>
      </c>
      <c r="L33" s="164">
        <v>52253</v>
      </c>
      <c r="M33" s="164" t="s">
        <v>758</v>
      </c>
      <c r="N33" s="168"/>
      <c r="O33" s="162">
        <v>9.8000000000000007</v>
      </c>
      <c r="P33" s="162">
        <v>10.97</v>
      </c>
      <c r="Q33" s="162">
        <v>8.09</v>
      </c>
      <c r="R33" s="162">
        <v>157.09800000000001</v>
      </c>
    </row>
    <row r="34" spans="1:18" x14ac:dyDescent="0.25">
      <c r="A34" s="163">
        <v>18</v>
      </c>
      <c r="B34" s="163" t="s">
        <v>759</v>
      </c>
      <c r="C34" s="164" t="s">
        <v>760</v>
      </c>
      <c r="D34" s="164" t="s">
        <v>754</v>
      </c>
      <c r="E34" s="164" t="s">
        <v>475</v>
      </c>
      <c r="F34" s="162"/>
      <c r="G34" s="164">
        <v>5</v>
      </c>
      <c r="H34" s="162"/>
      <c r="I34" s="162"/>
      <c r="J34" s="165">
        <f t="shared" si="0"/>
        <v>596.97239999999999</v>
      </c>
      <c r="K34" s="165">
        <f t="shared" si="1"/>
        <v>2984.8620000000001</v>
      </c>
      <c r="L34" s="164">
        <v>52253</v>
      </c>
      <c r="M34" s="166">
        <v>46423</v>
      </c>
      <c r="N34" s="168"/>
      <c r="O34" s="162">
        <v>3.4</v>
      </c>
      <c r="P34" s="162">
        <v>3.8</v>
      </c>
      <c r="Q34" s="162">
        <v>2.3199999999999998</v>
      </c>
      <c r="R34" s="162">
        <v>157.09800000000001</v>
      </c>
    </row>
    <row r="35" spans="1:18" x14ac:dyDescent="0.25">
      <c r="A35" s="163">
        <v>19</v>
      </c>
      <c r="B35" s="174" t="s">
        <v>761</v>
      </c>
      <c r="C35" s="164" t="s">
        <v>762</v>
      </c>
      <c r="D35" s="164" t="s">
        <v>763</v>
      </c>
      <c r="E35" s="164" t="s">
        <v>202</v>
      </c>
      <c r="F35" s="162"/>
      <c r="G35" s="164">
        <v>22</v>
      </c>
      <c r="H35" s="162"/>
      <c r="I35" s="162"/>
      <c r="J35" s="165">
        <f t="shared" si="0"/>
        <v>164.95290000000003</v>
      </c>
      <c r="K35" s="165">
        <f t="shared" si="1"/>
        <v>3628.9638000000004</v>
      </c>
      <c r="L35" s="164">
        <v>52253</v>
      </c>
      <c r="M35" s="164" t="s">
        <v>764</v>
      </c>
      <c r="N35" s="168"/>
      <c r="O35" s="162">
        <v>0.94</v>
      </c>
      <c r="P35" s="162">
        <v>1.05</v>
      </c>
      <c r="Q35" s="162">
        <v>0.95</v>
      </c>
      <c r="R35" s="162">
        <v>157.09800000000001</v>
      </c>
    </row>
    <row r="36" spans="1:18" ht="30" x14ac:dyDescent="0.25">
      <c r="A36" s="163">
        <v>20</v>
      </c>
      <c r="B36" s="174" t="s">
        <v>765</v>
      </c>
      <c r="C36" s="164" t="s">
        <v>766</v>
      </c>
      <c r="D36" s="164" t="s">
        <v>34</v>
      </c>
      <c r="E36" s="164" t="s">
        <v>202</v>
      </c>
      <c r="F36" s="162"/>
      <c r="G36" s="164">
        <v>277</v>
      </c>
      <c r="H36" s="162"/>
      <c r="I36" s="162"/>
      <c r="J36" s="165">
        <f t="shared" si="0"/>
        <v>193.23054000000002</v>
      </c>
      <c r="K36" s="165">
        <f t="shared" si="1"/>
        <v>53524.859580000004</v>
      </c>
      <c r="L36" s="164">
        <v>52278</v>
      </c>
      <c r="M36" s="166">
        <v>46397</v>
      </c>
      <c r="N36" s="168"/>
      <c r="O36" s="162">
        <v>1.1000000000000001</v>
      </c>
      <c r="P36" s="162">
        <v>1.23</v>
      </c>
      <c r="Q36" s="162">
        <v>1.1100000000000001</v>
      </c>
      <c r="R36" s="162">
        <v>157.09800000000001</v>
      </c>
    </row>
    <row r="37" spans="1:18" ht="30" x14ac:dyDescent="0.25">
      <c r="A37" s="163">
        <v>21</v>
      </c>
      <c r="B37" s="174" t="s">
        <v>765</v>
      </c>
      <c r="C37" s="164" t="s">
        <v>767</v>
      </c>
      <c r="D37" s="164" t="s">
        <v>34</v>
      </c>
      <c r="E37" s="164" t="s">
        <v>202</v>
      </c>
      <c r="F37" s="162"/>
      <c r="G37" s="164">
        <v>18</v>
      </c>
      <c r="H37" s="162"/>
      <c r="I37" s="162"/>
      <c r="J37" s="165">
        <f t="shared" si="0"/>
        <v>193.23054000000002</v>
      </c>
      <c r="K37" s="165">
        <f t="shared" si="1"/>
        <v>3478.1497200000003</v>
      </c>
      <c r="L37" s="164">
        <v>52278</v>
      </c>
      <c r="M37" s="166">
        <v>46395</v>
      </c>
      <c r="N37" s="168"/>
      <c r="O37" s="162">
        <v>1.1000000000000001</v>
      </c>
      <c r="P37" s="162">
        <v>1.23</v>
      </c>
      <c r="Q37" s="162">
        <v>1.1100000000000001</v>
      </c>
      <c r="R37" s="162">
        <v>157.09800000000001</v>
      </c>
    </row>
    <row r="38" spans="1:18" x14ac:dyDescent="0.25">
      <c r="A38" s="163">
        <v>22</v>
      </c>
      <c r="B38" s="174" t="s">
        <v>768</v>
      </c>
      <c r="C38" s="164" t="s">
        <v>769</v>
      </c>
      <c r="D38" s="164" t="s">
        <v>34</v>
      </c>
      <c r="E38" s="164" t="s">
        <v>202</v>
      </c>
      <c r="F38" s="162"/>
      <c r="G38" s="164">
        <v>38</v>
      </c>
      <c r="H38" s="162"/>
      <c r="I38" s="162"/>
      <c r="J38" s="165">
        <f t="shared" si="0"/>
        <v>212.08230000000003</v>
      </c>
      <c r="K38" s="165">
        <f t="shared" si="1"/>
        <v>8059.1274000000012</v>
      </c>
      <c r="L38" s="164">
        <v>52278</v>
      </c>
      <c r="M38" s="166">
        <v>46395</v>
      </c>
      <c r="N38" s="168"/>
      <c r="O38" s="162">
        <v>1.21</v>
      </c>
      <c r="P38" s="162">
        <v>1.35</v>
      </c>
      <c r="Q38" s="162">
        <v>1.22</v>
      </c>
      <c r="R38" s="162">
        <v>157.09800000000001</v>
      </c>
    </row>
    <row r="39" spans="1:18" ht="30" x14ac:dyDescent="0.25">
      <c r="A39" s="163">
        <v>23</v>
      </c>
      <c r="B39" s="174" t="s">
        <v>770</v>
      </c>
      <c r="C39" s="164" t="s">
        <v>771</v>
      </c>
      <c r="D39" s="164" t="s">
        <v>34</v>
      </c>
      <c r="E39" s="164" t="s">
        <v>202</v>
      </c>
      <c r="F39" s="162"/>
      <c r="G39" s="164">
        <v>37</v>
      </c>
      <c r="H39" s="162"/>
      <c r="I39" s="162"/>
      <c r="J39" s="165">
        <f t="shared" si="0"/>
        <v>193.23054000000002</v>
      </c>
      <c r="K39" s="165">
        <f t="shared" si="1"/>
        <v>7149.5299800000012</v>
      </c>
      <c r="L39" s="164">
        <v>52278</v>
      </c>
      <c r="M39" s="166">
        <v>46397</v>
      </c>
      <c r="N39" s="168"/>
      <c r="O39" s="162">
        <v>1.1000000000000001</v>
      </c>
      <c r="P39" s="162">
        <v>1.23</v>
      </c>
      <c r="Q39" s="162">
        <v>1.1100000000000001</v>
      </c>
      <c r="R39" s="162">
        <v>157.09800000000001</v>
      </c>
    </row>
    <row r="40" spans="1:18" ht="30" x14ac:dyDescent="0.25">
      <c r="A40" s="163">
        <v>24</v>
      </c>
      <c r="B40" s="174" t="s">
        <v>772</v>
      </c>
      <c r="C40" s="164" t="s">
        <v>773</v>
      </c>
      <c r="D40" s="164" t="s">
        <v>34</v>
      </c>
      <c r="E40" s="164" t="s">
        <v>202</v>
      </c>
      <c r="F40" s="162"/>
      <c r="G40" s="164">
        <v>397</v>
      </c>
      <c r="H40" s="162"/>
      <c r="I40" s="162"/>
      <c r="J40" s="165">
        <f t="shared" si="0"/>
        <v>193.23054000000002</v>
      </c>
      <c r="K40" s="165">
        <f t="shared" si="1"/>
        <v>76712.524380000003</v>
      </c>
      <c r="L40" s="164">
        <v>52278</v>
      </c>
      <c r="M40" s="166">
        <v>46397</v>
      </c>
      <c r="N40" s="168"/>
      <c r="O40" s="162">
        <v>1.1000000000000001</v>
      </c>
      <c r="P40" s="162">
        <v>1.23</v>
      </c>
      <c r="Q40" s="162">
        <v>1.1100000000000001</v>
      </c>
      <c r="R40" s="162">
        <v>157.09800000000001</v>
      </c>
    </row>
    <row r="41" spans="1:18" ht="30" x14ac:dyDescent="0.25">
      <c r="A41" s="163">
        <v>25</v>
      </c>
      <c r="B41" s="174" t="s">
        <v>765</v>
      </c>
      <c r="C41" s="164" t="s">
        <v>774</v>
      </c>
      <c r="D41" s="164" t="s">
        <v>34</v>
      </c>
      <c r="E41" s="164" t="s">
        <v>202</v>
      </c>
      <c r="F41" s="162"/>
      <c r="G41" s="164">
        <v>507</v>
      </c>
      <c r="H41" s="162"/>
      <c r="I41" s="162"/>
      <c r="J41" s="165">
        <f t="shared" si="0"/>
        <v>193.23054000000002</v>
      </c>
      <c r="K41" s="165">
        <f t="shared" si="1"/>
        <v>97967.883780000004</v>
      </c>
      <c r="L41" s="164">
        <v>52279</v>
      </c>
      <c r="M41" s="175">
        <v>46393</v>
      </c>
      <c r="N41" s="168"/>
      <c r="O41" s="162">
        <v>1.1000000000000001</v>
      </c>
      <c r="P41" s="162">
        <v>1.23</v>
      </c>
      <c r="Q41" s="162">
        <v>1.1100000000000001</v>
      </c>
      <c r="R41" s="162">
        <v>157.09800000000001</v>
      </c>
    </row>
    <row r="42" spans="1:18" ht="30" x14ac:dyDescent="0.25">
      <c r="A42" s="163">
        <v>26</v>
      </c>
      <c r="B42" s="174" t="s">
        <v>765</v>
      </c>
      <c r="C42" s="164" t="s">
        <v>775</v>
      </c>
      <c r="D42" s="164" t="s">
        <v>34</v>
      </c>
      <c r="E42" s="164" t="s">
        <v>202</v>
      </c>
      <c r="F42" s="162"/>
      <c r="G42" s="164">
        <v>339</v>
      </c>
      <c r="H42" s="162"/>
      <c r="I42" s="162"/>
      <c r="J42" s="165">
        <f t="shared" si="0"/>
        <v>193.23054000000002</v>
      </c>
      <c r="K42" s="165">
        <f t="shared" si="1"/>
        <v>65505.153060000004</v>
      </c>
      <c r="L42" s="164">
        <v>52279</v>
      </c>
      <c r="M42" s="166">
        <v>46391</v>
      </c>
      <c r="N42" s="168"/>
      <c r="O42" s="162">
        <v>1.1000000000000001</v>
      </c>
      <c r="P42" s="162">
        <v>1.23</v>
      </c>
      <c r="Q42" s="162">
        <v>1.1100000000000001</v>
      </c>
      <c r="R42" s="162">
        <v>157.09800000000001</v>
      </c>
    </row>
    <row r="43" spans="1:18" x14ac:dyDescent="0.25">
      <c r="A43" s="163">
        <v>27</v>
      </c>
      <c r="B43" s="176" t="s">
        <v>776</v>
      </c>
      <c r="C43" s="164" t="s">
        <v>777</v>
      </c>
      <c r="D43" s="164" t="s">
        <v>731</v>
      </c>
      <c r="E43" s="164" t="s">
        <v>26</v>
      </c>
      <c r="F43" s="162"/>
      <c r="G43" s="164">
        <v>93</v>
      </c>
      <c r="H43" s="162"/>
      <c r="I43" s="162"/>
      <c r="J43" s="165">
        <f t="shared" si="0"/>
        <v>39.274500000000003</v>
      </c>
      <c r="K43" s="165">
        <f t="shared" si="1"/>
        <v>3652.5285000000003</v>
      </c>
      <c r="L43" s="164">
        <v>52252</v>
      </c>
      <c r="M43" s="164" t="s">
        <v>778</v>
      </c>
      <c r="N43" s="168"/>
      <c r="O43" s="162">
        <v>0.22919999999999999</v>
      </c>
      <c r="P43" s="162">
        <v>0.25</v>
      </c>
      <c r="Q43" s="162">
        <v>0.18</v>
      </c>
      <c r="R43" s="162">
        <v>157.09800000000001</v>
      </c>
    </row>
    <row r="44" spans="1:18" x14ac:dyDescent="0.25">
      <c r="A44" s="163">
        <v>28</v>
      </c>
      <c r="B44" s="176" t="s">
        <v>779</v>
      </c>
      <c r="C44" s="164" t="s">
        <v>780</v>
      </c>
      <c r="D44" s="164" t="s">
        <v>781</v>
      </c>
      <c r="E44" s="164" t="s">
        <v>26</v>
      </c>
      <c r="F44" s="162"/>
      <c r="G44" s="164">
        <v>226</v>
      </c>
      <c r="H44" s="162"/>
      <c r="I44" s="162"/>
      <c r="J44" s="165">
        <f t="shared" si="0"/>
        <v>75.407040000000009</v>
      </c>
      <c r="K44" s="165">
        <f t="shared" si="1"/>
        <v>17041.991040000001</v>
      </c>
      <c r="L44" s="164">
        <v>52257</v>
      </c>
      <c r="M44" s="166">
        <v>46757</v>
      </c>
      <c r="N44" s="168"/>
      <c r="O44" s="162">
        <v>0.43</v>
      </c>
      <c r="P44" s="162">
        <v>0.48</v>
      </c>
      <c r="Q44" s="162">
        <v>0.35</v>
      </c>
      <c r="R44" s="162">
        <v>157.09800000000001</v>
      </c>
    </row>
    <row r="45" spans="1:18" x14ac:dyDescent="0.25">
      <c r="A45" s="163">
        <v>29</v>
      </c>
      <c r="B45" s="176" t="s">
        <v>641</v>
      </c>
      <c r="C45" s="164" t="s">
        <v>782</v>
      </c>
      <c r="D45" s="164" t="s">
        <v>783</v>
      </c>
      <c r="E45" s="164" t="s">
        <v>26</v>
      </c>
      <c r="F45" s="162"/>
      <c r="G45" s="164">
        <v>675</v>
      </c>
      <c r="H45" s="162"/>
      <c r="I45" s="162"/>
      <c r="J45" s="165">
        <f t="shared" si="0"/>
        <v>84.832920000000016</v>
      </c>
      <c r="K45" s="165">
        <f t="shared" si="1"/>
        <v>57262.221000000012</v>
      </c>
      <c r="L45" s="164">
        <v>52278</v>
      </c>
      <c r="M45" s="166">
        <v>46731</v>
      </c>
      <c r="N45" s="168"/>
      <c r="O45" s="162">
        <v>0.49</v>
      </c>
      <c r="P45" s="162">
        <v>0.54</v>
      </c>
      <c r="Q45" s="162">
        <v>0.4</v>
      </c>
      <c r="R45" s="162">
        <v>157.09800000000001</v>
      </c>
    </row>
    <row r="46" spans="1:18" x14ac:dyDescent="0.25">
      <c r="A46" s="163">
        <v>30</v>
      </c>
      <c r="B46" s="176" t="s">
        <v>784</v>
      </c>
      <c r="C46" s="164" t="s">
        <v>785</v>
      </c>
      <c r="D46" s="164" t="s">
        <v>728</v>
      </c>
      <c r="E46" s="164" t="s">
        <v>202</v>
      </c>
      <c r="F46" s="162"/>
      <c r="G46" s="164">
        <v>35</v>
      </c>
      <c r="H46" s="162"/>
      <c r="I46" s="162"/>
      <c r="J46" s="165">
        <f t="shared" si="0"/>
        <v>119.39448000000002</v>
      </c>
      <c r="K46" s="165">
        <f t="shared" si="1"/>
        <v>4178.8068000000003</v>
      </c>
      <c r="L46" s="164">
        <v>52279</v>
      </c>
      <c r="M46" s="166">
        <v>46548</v>
      </c>
      <c r="N46" s="168"/>
      <c r="O46" s="162">
        <v>0.68</v>
      </c>
      <c r="P46" s="162">
        <v>0.76</v>
      </c>
      <c r="Q46" s="162">
        <v>0.46</v>
      </c>
      <c r="R46" s="162">
        <v>157.09800000000001</v>
      </c>
    </row>
    <row r="47" spans="1:18" x14ac:dyDescent="0.25">
      <c r="A47" s="174">
        <v>31</v>
      </c>
      <c r="B47" s="174" t="s">
        <v>786</v>
      </c>
      <c r="C47" s="177" t="s">
        <v>787</v>
      </c>
      <c r="D47" s="164" t="s">
        <v>754</v>
      </c>
      <c r="E47" s="177" t="s">
        <v>26</v>
      </c>
      <c r="F47" s="162"/>
      <c r="G47" s="164">
        <v>74</v>
      </c>
      <c r="H47" s="162"/>
      <c r="I47" s="162"/>
      <c r="J47" s="165">
        <f t="shared" si="0"/>
        <v>238.78896000000003</v>
      </c>
      <c r="K47" s="165">
        <f t="shared" si="1"/>
        <v>17670.383040000001</v>
      </c>
      <c r="L47" s="164">
        <v>52258</v>
      </c>
      <c r="M47" s="166">
        <v>46392</v>
      </c>
      <c r="N47" s="168"/>
      <c r="O47" s="162">
        <v>1.36</v>
      </c>
      <c r="P47" s="162">
        <v>1.52</v>
      </c>
      <c r="Q47" s="162">
        <v>1.1200000000000001</v>
      </c>
      <c r="R47" s="162">
        <v>157.09800000000001</v>
      </c>
    </row>
    <row r="48" spans="1:18" x14ac:dyDescent="0.25">
      <c r="A48" s="174">
        <v>32</v>
      </c>
      <c r="B48" s="174" t="s">
        <v>788</v>
      </c>
      <c r="C48" s="177" t="s">
        <v>789</v>
      </c>
      <c r="D48" s="164" t="s">
        <v>754</v>
      </c>
      <c r="E48" s="177" t="s">
        <v>26</v>
      </c>
      <c r="F48" s="162"/>
      <c r="G48" s="164">
        <v>24</v>
      </c>
      <c r="H48" s="162"/>
      <c r="I48" s="162"/>
      <c r="J48" s="165">
        <f t="shared" si="0"/>
        <v>238.78896000000003</v>
      </c>
      <c r="K48" s="165">
        <f t="shared" si="1"/>
        <v>5730.9350400000003</v>
      </c>
      <c r="L48" s="164">
        <v>52258</v>
      </c>
      <c r="M48" s="166">
        <v>46396</v>
      </c>
      <c r="N48" s="168"/>
      <c r="O48" s="162">
        <v>1.36</v>
      </c>
      <c r="P48" s="162">
        <v>1.52</v>
      </c>
      <c r="Q48" s="162">
        <v>1.1200000000000001</v>
      </c>
      <c r="R48" s="162">
        <v>157.09800000000001</v>
      </c>
    </row>
    <row r="49" spans="1:19" x14ac:dyDescent="0.25">
      <c r="A49" s="193">
        <v>33</v>
      </c>
      <c r="B49" s="193" t="s">
        <v>790</v>
      </c>
      <c r="C49" s="194" t="s">
        <v>791</v>
      </c>
      <c r="D49" s="194" t="s">
        <v>34</v>
      </c>
      <c r="E49" s="194" t="s">
        <v>243</v>
      </c>
      <c r="F49" s="195"/>
      <c r="G49" s="194">
        <v>45</v>
      </c>
      <c r="H49" s="195"/>
      <c r="I49" s="195"/>
      <c r="J49" s="196">
        <f t="shared" si="0"/>
        <v>149.2431</v>
      </c>
      <c r="K49" s="196">
        <f t="shared" si="1"/>
        <v>6715.9394999999995</v>
      </c>
      <c r="L49" s="194">
        <v>52277</v>
      </c>
      <c r="M49" s="197">
        <v>46394</v>
      </c>
      <c r="N49" s="168"/>
      <c r="O49" s="195">
        <v>0.85</v>
      </c>
      <c r="P49" s="195">
        <v>0.95</v>
      </c>
      <c r="Q49" s="195">
        <v>0.86</v>
      </c>
      <c r="R49" s="195">
        <v>157.09800000000001</v>
      </c>
    </row>
    <row r="50" spans="1:19" x14ac:dyDescent="0.25">
      <c r="A50" s="123" t="s">
        <v>5</v>
      </c>
      <c r="B50" s="123"/>
      <c r="C50" s="123"/>
      <c r="D50" s="123"/>
      <c r="E50" s="123"/>
      <c r="F50" s="123"/>
      <c r="G50" s="123"/>
      <c r="H50" s="123"/>
      <c r="I50" s="123"/>
      <c r="J50" s="123"/>
      <c r="K50" s="57">
        <f>SUM(K17:K49)</f>
        <v>796848.18540000019</v>
      </c>
      <c r="L50" s="13"/>
      <c r="M50" s="13"/>
      <c r="N50" s="168"/>
      <c r="O50" s="13"/>
      <c r="P50" s="13"/>
      <c r="Q50" s="13"/>
      <c r="R50" s="13"/>
      <c r="S50" s="13"/>
    </row>
    <row r="51" spans="1:19" x14ac:dyDescent="0.25">
      <c r="A51" s="123" t="s">
        <v>669</v>
      </c>
      <c r="B51" s="123"/>
      <c r="C51" s="123"/>
      <c r="D51" s="123"/>
      <c r="E51" s="123"/>
      <c r="F51" s="123"/>
      <c r="G51" s="123"/>
      <c r="H51" s="123"/>
      <c r="I51" s="123"/>
      <c r="J51" s="123"/>
      <c r="K51" s="13"/>
      <c r="L51" s="13"/>
      <c r="M51" s="13"/>
      <c r="N51" s="178"/>
      <c r="O51" s="13"/>
      <c r="P51" s="13"/>
      <c r="Q51" s="13"/>
      <c r="R51" s="13"/>
      <c r="S51" s="13"/>
    </row>
  </sheetData>
  <mergeCells count="35">
    <mergeCell ref="R13:R16"/>
    <mergeCell ref="A50:J50"/>
    <mergeCell ref="A51:J51"/>
    <mergeCell ref="N17:N51"/>
    <mergeCell ref="A8:J8"/>
    <mergeCell ref="A9:J9"/>
    <mergeCell ref="F15:I15"/>
    <mergeCell ref="O14:O16"/>
    <mergeCell ref="P14:P16"/>
    <mergeCell ref="Q14:Q16"/>
    <mergeCell ref="M14:M16"/>
    <mergeCell ref="N14:N16"/>
    <mergeCell ref="B15:B16"/>
    <mergeCell ref="C15:C16"/>
    <mergeCell ref="D15:D16"/>
    <mergeCell ref="E15:E16"/>
    <mergeCell ref="J15:J16"/>
    <mergeCell ref="A14:I14"/>
    <mergeCell ref="K14:K16"/>
    <mergeCell ref="L14:L16"/>
    <mergeCell ref="P5:P6"/>
    <mergeCell ref="D5:D6"/>
    <mergeCell ref="E5:E6"/>
    <mergeCell ref="F5:H5"/>
    <mergeCell ref="J5:J6"/>
    <mergeCell ref="N5:N6"/>
    <mergeCell ref="O5:O6"/>
    <mergeCell ref="A3:P3"/>
    <mergeCell ref="Q3:Q6"/>
    <mergeCell ref="A4:I4"/>
    <mergeCell ref="K4:K6"/>
    <mergeCell ref="L4:L6"/>
    <mergeCell ref="M4:M6"/>
    <mergeCell ref="B5:B6"/>
    <mergeCell ref="C5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31" sqref="J3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035-2018</vt:lpstr>
      <vt:lpstr>ዋጋ ያልተሰራ</vt:lpstr>
      <vt:lpstr>የስበላ</vt:lpstr>
      <vt:lpstr>036-2018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Belisa</dc:creator>
  <cp:lastModifiedBy>helen</cp:lastModifiedBy>
  <cp:lastPrinted>2026-03-09T06:30:59Z</cp:lastPrinted>
  <dcterms:created xsi:type="dcterms:W3CDTF">2026-03-05T11:44:14Z</dcterms:created>
  <dcterms:modified xsi:type="dcterms:W3CDTF">2026-03-13T00:16:47Z</dcterms:modified>
</cp:coreProperties>
</file>